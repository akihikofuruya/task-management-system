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elecs-my.sharepoint.com/personal/furuya-akihiko_elecs-web_co_jp/Documents/デスクトップ/"/>
    </mc:Choice>
  </mc:AlternateContent>
  <xr:revisionPtr revIDLastSave="40" documentId="11_0DF0B7A5877C0184253E1A3BB0B834DA371161A9" xr6:coauthVersionLast="47" xr6:coauthVersionMax="47" xr10:uidLastSave="{A7E997C5-ECE8-4B12-81E2-5F2D744C80BD}"/>
  <bookViews>
    <workbookView xWindow="-120" yWindow="-120" windowWidth="29040" windowHeight="15720" tabRatio="500" xr2:uid="{00000000-000D-0000-FFFF-FFFF00000000}"/>
  </bookViews>
  <sheets>
    <sheet name="ガントチャート" sheetId="1" r:id="rId1"/>
    <sheet name="使い方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8" i="1" l="1"/>
  <c r="F17" i="1"/>
  <c r="G17" i="1" s="1"/>
  <c r="E17" i="1"/>
  <c r="F15" i="1"/>
  <c r="E15" i="1"/>
  <c r="G15" i="1" s="1"/>
  <c r="F13" i="1"/>
  <c r="E13" i="1"/>
  <c r="F11" i="1"/>
  <c r="E11" i="1"/>
  <c r="G11" i="1" s="1"/>
  <c r="F9" i="1"/>
  <c r="E9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G18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BF10" i="1"/>
  <c r="AY10" i="1"/>
  <c r="Z10" i="1"/>
  <c r="S10" i="1"/>
  <c r="G10" i="1"/>
  <c r="BO10" i="1"/>
  <c r="AZ9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E8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F7" i="1"/>
  <c r="E7" i="1"/>
  <c r="BR6" i="1"/>
  <c r="BQ6" i="1"/>
  <c r="BP6" i="1"/>
  <c r="BO6" i="1"/>
  <c r="BN6" i="1"/>
  <c r="BM6" i="1"/>
  <c r="BL6" i="1"/>
  <c r="BK6" i="1"/>
  <c r="BJ6" i="1"/>
  <c r="BJ9" i="1" s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T9" i="1" s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D9" i="1" s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N9" i="1" s="1"/>
  <c r="M6" i="1"/>
  <c r="L6" i="1"/>
  <c r="K6" i="1"/>
  <c r="E3" i="1"/>
  <c r="I8" i="1" l="1"/>
  <c r="G8" i="1"/>
  <c r="G13" i="1"/>
  <c r="I12" i="1"/>
  <c r="AJ9" i="1"/>
  <c r="AU9" i="1"/>
  <c r="Z9" i="1"/>
  <c r="BF9" i="1"/>
  <c r="K9" i="1"/>
  <c r="BN10" i="1"/>
  <c r="T9" i="1"/>
  <c r="AL9" i="1"/>
  <c r="BR9" i="1"/>
  <c r="AP9" i="1"/>
  <c r="AA10" i="1"/>
  <c r="G7" i="1"/>
  <c r="AQ9" i="1"/>
  <c r="L9" i="1"/>
  <c r="AB9" i="1"/>
  <c r="AR9" i="1"/>
  <c r="BH9" i="1"/>
  <c r="AI10" i="1"/>
  <c r="BB9" i="1"/>
  <c r="O9" i="1"/>
  <c r="AE9" i="1"/>
  <c r="BK9" i="1"/>
  <c r="G9" i="1"/>
  <c r="BC10" i="1"/>
  <c r="BG10" i="1"/>
  <c r="AA9" i="1"/>
  <c r="BG9" i="1"/>
  <c r="AH10" i="1"/>
  <c r="I10" i="1"/>
  <c r="AP10" i="1"/>
  <c r="G12" i="1"/>
  <c r="BP9" i="1"/>
  <c r="V9" i="1"/>
  <c r="R9" i="1"/>
  <c r="AH9" i="1"/>
  <c r="AX9" i="1"/>
  <c r="BN9" i="1"/>
  <c r="K10" i="1"/>
  <c r="AQ10" i="1"/>
  <c r="S9" i="1"/>
  <c r="AI9" i="1"/>
  <c r="AY9" i="1"/>
  <c r="BO9" i="1"/>
  <c r="R10" i="1"/>
  <c r="AX10" i="1"/>
  <c r="G16" i="1"/>
  <c r="I18" i="1"/>
  <c r="W9" i="1"/>
  <c r="AM9" i="1"/>
  <c r="BC9" i="1"/>
  <c r="W10" i="1"/>
  <c r="AE10" i="1"/>
  <c r="AM10" i="1"/>
  <c r="AU10" i="1"/>
  <c r="BK10" i="1"/>
  <c r="I14" i="1"/>
  <c r="P9" i="1"/>
  <c r="X9" i="1"/>
  <c r="AF9" i="1"/>
  <c r="AN9" i="1"/>
  <c r="AV9" i="1"/>
  <c r="BD9" i="1"/>
  <c r="BL9" i="1"/>
  <c r="P10" i="1"/>
  <c r="X10" i="1"/>
  <c r="AF10" i="1"/>
  <c r="AN10" i="1"/>
  <c r="AV10" i="1"/>
  <c r="BD10" i="1"/>
  <c r="BL10" i="1"/>
  <c r="Q9" i="1"/>
  <c r="Y9" i="1"/>
  <c r="AG9" i="1"/>
  <c r="AO9" i="1"/>
  <c r="AW9" i="1"/>
  <c r="BE9" i="1"/>
  <c r="BM9" i="1"/>
  <c r="Q10" i="1"/>
  <c r="Y10" i="1"/>
  <c r="AG10" i="1"/>
  <c r="AO10" i="1"/>
  <c r="AW10" i="1"/>
  <c r="BE10" i="1"/>
  <c r="BM10" i="1"/>
  <c r="T10" i="1"/>
  <c r="AJ10" i="1"/>
  <c r="AZ10" i="1"/>
  <c r="BP10" i="1"/>
  <c r="M9" i="1"/>
  <c r="U9" i="1"/>
  <c r="AC9" i="1"/>
  <c r="AK9" i="1"/>
  <c r="AS9" i="1"/>
  <c r="BA9" i="1"/>
  <c r="BI9" i="1"/>
  <c r="BQ9" i="1"/>
  <c r="M10" i="1"/>
  <c r="U10" i="1"/>
  <c r="AC10" i="1"/>
  <c r="AK10" i="1"/>
  <c r="AS10" i="1"/>
  <c r="BA10" i="1"/>
  <c r="BI10" i="1"/>
  <c r="BQ10" i="1"/>
  <c r="I16" i="1"/>
  <c r="L10" i="1"/>
  <c r="AB10" i="1"/>
  <c r="AR10" i="1"/>
  <c r="BH10" i="1"/>
  <c r="N10" i="1"/>
  <c r="V10" i="1"/>
  <c r="AD10" i="1"/>
  <c r="AL10" i="1"/>
  <c r="AT10" i="1"/>
  <c r="BB10" i="1"/>
  <c r="BJ10" i="1"/>
  <c r="BR10" i="1"/>
  <c r="G14" i="1"/>
  <c r="O10" i="1"/>
</calcChain>
</file>

<file path=xl/sharedStrings.xml><?xml version="1.0" encoding="utf-8"?>
<sst xmlns="http://schemas.openxmlformats.org/spreadsheetml/2006/main" count="76" uniqueCount="50">
  <si>
    <t>案件名：</t>
  </si>
  <si>
    <r>
      <rPr>
        <sz val="10"/>
        <color rgb="FF0000FF"/>
        <rFont val="Noto Sans CJK SC"/>
        <family val="2"/>
      </rPr>
      <t>（例）〇〇社向け</t>
    </r>
    <r>
      <rPr>
        <sz val="10"/>
        <color rgb="FF0000FF"/>
        <rFont val="Meiryo UI"/>
        <family val="3"/>
        <charset val="128"/>
      </rPr>
      <t>SES</t>
    </r>
    <r>
      <rPr>
        <sz val="10"/>
        <color rgb="FF0000FF"/>
        <rFont val="Noto Sans CJK SC"/>
        <family val="2"/>
      </rPr>
      <t>要員管理システム導入プロジェクト</t>
    </r>
  </si>
  <si>
    <t>プロジェクト開始日</t>
  </si>
  <si>
    <r>
      <rPr>
        <b/>
        <sz val="10"/>
        <rFont val="Meiryo UI"/>
        <family val="3"/>
        <charset val="128"/>
      </rPr>
      <t>PM</t>
    </r>
    <r>
      <rPr>
        <b/>
        <sz val="10"/>
        <rFont val="Noto Sans CJK SC"/>
        <family val="2"/>
      </rPr>
      <t>／担当：</t>
    </r>
  </si>
  <si>
    <t>古谷</t>
  </si>
  <si>
    <t>表示日数</t>
  </si>
  <si>
    <t>作成日：</t>
  </si>
  <si>
    <t>本日</t>
  </si>
  <si>
    <t>No</t>
  </si>
  <si>
    <t>タスク名</t>
  </si>
  <si>
    <t>担当者</t>
  </si>
  <si>
    <t>区分</t>
  </si>
  <si>
    <t>開始日</t>
  </si>
  <si>
    <t>終了日</t>
  </si>
  <si>
    <r>
      <rPr>
        <b/>
        <sz val="10"/>
        <color rgb="FFFFFFFF"/>
        <rFont val="Noto Sans CJK SC"/>
        <family val="2"/>
      </rPr>
      <t>期間</t>
    </r>
    <r>
      <rPr>
        <b/>
        <sz val="10"/>
        <color rgb="FFFFFFFF"/>
        <rFont val="Meiryo UI"/>
        <family val="3"/>
        <charset val="128"/>
      </rPr>
      <t>(</t>
    </r>
    <r>
      <rPr>
        <b/>
        <sz val="10"/>
        <color rgb="FFFFFFFF"/>
        <rFont val="Noto Sans CJK SC"/>
        <family val="2"/>
      </rPr>
      <t>日</t>
    </r>
    <r>
      <rPr>
        <b/>
        <sz val="10"/>
        <color rgb="FFFFFFFF"/>
        <rFont val="Meiryo UI"/>
        <family val="3"/>
        <charset val="128"/>
      </rPr>
      <t>)</t>
    </r>
  </si>
  <si>
    <t>進捗率</t>
  </si>
  <si>
    <t>ステータス</t>
  </si>
  <si>
    <t>種別</t>
  </si>
  <si>
    <t>スケジュール（上段＝予定／下段＝実績）</t>
  </si>
  <si>
    <t>要件定義</t>
  </si>
  <si>
    <t>予定</t>
  </si>
  <si>
    <t>-</t>
  </si>
  <si>
    <t>タスク</t>
  </si>
  <si>
    <t>実績</t>
  </si>
  <si>
    <t>ガントチャートの使い方（予定・実績管理版）</t>
  </si>
  <si>
    <r>
      <rPr>
        <sz val="11"/>
        <rFont val="Meiryo UI"/>
        <family val="3"/>
        <charset val="128"/>
      </rPr>
      <t>① E1</t>
    </r>
    <r>
      <rPr>
        <sz val="11"/>
        <rFont val="Noto Sans CJK SC"/>
        <family val="2"/>
      </rPr>
      <t>セルに「プロジェクト開始日」を入力すると、日付ヘッダーが自動で連動します。</t>
    </r>
  </si>
  <si>
    <r>
      <rPr>
        <sz val="11"/>
        <rFont val="Noto Sans CJK SC"/>
        <family val="2"/>
      </rPr>
      <t>② 各タスクは</t>
    </r>
    <r>
      <rPr>
        <sz val="11"/>
        <rFont val="Meiryo UI"/>
        <family val="3"/>
        <charset val="128"/>
      </rPr>
      <t>2</t>
    </r>
    <r>
      <rPr>
        <sz val="11"/>
        <rFont val="Noto Sans CJK SC"/>
        <family val="2"/>
      </rPr>
      <t>行</t>
    </r>
    <r>
      <rPr>
        <sz val="11"/>
        <rFont val="Meiryo UI"/>
        <family val="3"/>
        <charset val="128"/>
      </rPr>
      <t>1</t>
    </r>
    <r>
      <rPr>
        <sz val="11"/>
        <rFont val="Noto Sans CJK SC"/>
        <family val="2"/>
      </rPr>
      <t>組（上段＝予定／下段＝実績）で構成されています。</t>
    </r>
  </si>
  <si>
    <r>
      <rPr>
        <sz val="11"/>
        <rFont val="Noto Sans CJK SC"/>
        <family val="2"/>
      </rPr>
      <t>③ 上段（予定）の</t>
    </r>
    <r>
      <rPr>
        <sz val="11"/>
        <rFont val="Meiryo UI"/>
        <family val="3"/>
        <charset val="128"/>
      </rPr>
      <t>E</t>
    </r>
    <r>
      <rPr>
        <sz val="11"/>
        <rFont val="Noto Sans CJK SC"/>
        <family val="2"/>
      </rPr>
      <t>列・</t>
    </r>
    <r>
      <rPr>
        <sz val="11"/>
        <rFont val="Meiryo UI"/>
        <family val="3"/>
        <charset val="128"/>
      </rPr>
      <t>F</t>
    </r>
    <r>
      <rPr>
        <sz val="11"/>
        <rFont val="Noto Sans CJK SC"/>
        <family val="2"/>
      </rPr>
      <t>列に予定の開始日・終了日を入力してください。</t>
    </r>
  </si>
  <si>
    <r>
      <rPr>
        <sz val="11"/>
        <rFont val="Noto Sans CJK SC"/>
        <family val="2"/>
      </rPr>
      <t>④ 下段（実績）の</t>
    </r>
    <r>
      <rPr>
        <sz val="11"/>
        <rFont val="Meiryo UI"/>
        <family val="3"/>
        <charset val="128"/>
      </rPr>
      <t>E</t>
    </r>
    <r>
      <rPr>
        <sz val="11"/>
        <rFont val="Noto Sans CJK SC"/>
        <family val="2"/>
      </rPr>
      <t>列・</t>
    </r>
    <r>
      <rPr>
        <sz val="11"/>
        <rFont val="Meiryo UI"/>
        <family val="3"/>
        <charset val="128"/>
      </rPr>
      <t>F</t>
    </r>
    <r>
      <rPr>
        <sz val="11"/>
        <rFont val="Noto Sans CJK SC"/>
        <family val="2"/>
      </rPr>
      <t>列に実際の開始日・終了日を入力してください（終了日は完了後で</t>
    </r>
    <r>
      <rPr>
        <sz val="11"/>
        <rFont val="Meiryo UI"/>
        <family val="3"/>
        <charset val="128"/>
      </rPr>
      <t>OK</t>
    </r>
    <r>
      <rPr>
        <sz val="11"/>
        <rFont val="Noto Sans CJK SC"/>
        <family val="2"/>
      </rPr>
      <t>）。</t>
    </r>
  </si>
  <si>
    <t>⑤ 実績の終了日が未入力の間は、実績開始日〜本日までオレンジ色（進行中）で表示されます。</t>
  </si>
  <si>
    <t>⑥ 実績の終了日を入力すると、その期間が緑色（完了）に変わります。</t>
  </si>
  <si>
    <r>
      <rPr>
        <sz val="11"/>
        <rFont val="Noto Sans CJK SC"/>
        <family val="2"/>
      </rPr>
      <t>⑦ 下段（実績）の</t>
    </r>
    <r>
      <rPr>
        <sz val="11"/>
        <rFont val="Meiryo UI"/>
        <family val="3"/>
        <charset val="128"/>
      </rPr>
      <t>H</t>
    </r>
    <r>
      <rPr>
        <sz val="11"/>
        <rFont val="Noto Sans CJK SC"/>
        <family val="2"/>
      </rPr>
      <t>列「進捗率」を入力すると、ステータス欄に反映されます。</t>
    </r>
  </si>
  <si>
    <r>
      <rPr>
        <sz val="11"/>
        <rFont val="Noto Sans CJK SC"/>
        <family val="2"/>
      </rPr>
      <t>⑧ ステータス（</t>
    </r>
    <r>
      <rPr>
        <sz val="11"/>
        <rFont val="Meiryo UI"/>
        <family val="3"/>
        <charset val="128"/>
      </rPr>
      <t>I</t>
    </r>
    <r>
      <rPr>
        <sz val="11"/>
        <rFont val="Noto Sans CJK SC"/>
        <family val="2"/>
      </rPr>
      <t>列・実績行のみ）は自動判定：未着手／進行中／完了／（遅延）。</t>
    </r>
  </si>
  <si>
    <t>　　本日が予定終了日を過ぎても未完了の場合、自動的に「（遅延）」が付きます。</t>
  </si>
  <si>
    <r>
      <rPr>
        <sz val="11"/>
        <rFont val="Meiryo UI"/>
        <family val="3"/>
        <charset val="128"/>
      </rPr>
      <t>⑨ J</t>
    </r>
    <r>
      <rPr>
        <sz val="11"/>
        <rFont val="Noto Sans CJK SC"/>
        <family val="2"/>
      </rPr>
      <t>列「種別」で「マイルストーン」を選ぶと、バーの代わりに◆マークになります。</t>
    </r>
  </si>
  <si>
    <t>　　実績マイルストーンは、予定日以前に達成＝緑◆、予定日より遅れた＝赤◆で自動表示されます。</t>
  </si>
  <si>
    <r>
      <rPr>
        <sz val="11"/>
        <rFont val="Noto Sans CJK SC"/>
        <family val="2"/>
      </rPr>
      <t>⑩ タスクを追加する場合は、既存の</t>
    </r>
    <r>
      <rPr>
        <sz val="11"/>
        <rFont val="Meiryo UI"/>
        <family val="3"/>
        <charset val="128"/>
      </rPr>
      <t>2</t>
    </r>
    <r>
      <rPr>
        <sz val="11"/>
        <rFont val="Noto Sans CJK SC"/>
        <family val="2"/>
      </rPr>
      <t>行</t>
    </r>
    <r>
      <rPr>
        <sz val="11"/>
        <rFont val="Meiryo UI"/>
        <family val="3"/>
        <charset val="128"/>
      </rPr>
      <t>1</t>
    </r>
    <r>
      <rPr>
        <sz val="11"/>
        <rFont val="Noto Sans CJK SC"/>
        <family val="2"/>
      </rPr>
      <t>組をコピーして挿入してください（結合セル・条件付き書式ごと）。</t>
    </r>
  </si>
  <si>
    <t>色の凡例</t>
  </si>
  <si>
    <t>青バー：予定期間</t>
  </si>
  <si>
    <t>緑バー／緑◆：実績（完了）</t>
  </si>
  <si>
    <t>オレンジバー：実績（進行中・終了日未確定）</t>
  </si>
  <si>
    <t>赤◆：マイルストーンの実績が予定より遅れた</t>
  </si>
  <si>
    <t>グレー：土日</t>
  </si>
  <si>
    <t>オレンジ（ヘッダー）：本日</t>
  </si>
  <si>
    <t>ピンク（ステータス欄）：遅延</t>
  </si>
  <si>
    <t>基本設計</t>
    <phoneticPr fontId="18"/>
  </si>
  <si>
    <t>詳細設計</t>
    <phoneticPr fontId="18"/>
  </si>
  <si>
    <t>実装</t>
    <rPh sb="0" eb="2">
      <t>ジッソウ</t>
    </rPh>
    <phoneticPr fontId="18"/>
  </si>
  <si>
    <t>テスト</t>
    <phoneticPr fontId="18"/>
  </si>
  <si>
    <t>リリース準備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</si>
</sst>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77" formatCode="yyyy\-mm\-dd"/>
    <numFmt numFmtId="178" formatCode="m/d"/>
  </numFmts>
  <fonts count="20">
    <font>
      <sz val="11"/>
      <color theme="1"/>
      <name val="Calibri"/>
      <family val="2"/>
      <charset val="1"/>
    </font>
    <font>
      <b/>
      <sz val="10"/>
      <name val="Noto Sans CJK SC"/>
      <family val="2"/>
    </font>
    <font>
      <sz val="10"/>
      <color rgb="FF0000FF"/>
      <name val="Noto Sans CJK SC"/>
      <family val="2"/>
    </font>
    <font>
      <sz val="10"/>
      <color rgb="FF0000FF"/>
      <name val="Meiryo UI"/>
      <family val="3"/>
      <charset val="128"/>
    </font>
    <font>
      <b/>
      <sz val="10"/>
      <name val="Meiryo UI"/>
      <family val="3"/>
      <charset val="128"/>
    </font>
    <font>
      <sz val="10"/>
      <color rgb="FF000000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b/>
      <sz val="10"/>
      <color rgb="FFFFFFFF"/>
      <name val="Noto Sans CJK SC"/>
      <family val="2"/>
    </font>
    <font>
      <sz val="8"/>
      <name val="Meiryo UI"/>
      <family val="3"/>
      <charset val="128"/>
    </font>
    <font>
      <sz val="10"/>
      <name val="Noto Sans CJK SC"/>
      <family val="2"/>
    </font>
    <font>
      <i/>
      <sz val="9"/>
      <color rgb="FF595959"/>
      <name val="Noto Sans CJK SC"/>
      <family val="2"/>
    </font>
    <font>
      <sz val="10"/>
      <name val="Meiryo UI"/>
      <family val="3"/>
      <charset val="128"/>
    </font>
    <font>
      <sz val="10"/>
      <color rgb="FFA6A6A6"/>
      <name val="Meiryo UI"/>
      <family val="3"/>
      <charset val="128"/>
    </font>
    <font>
      <b/>
      <sz val="11"/>
      <color rgb="FF7030A0"/>
      <name val="Meiryo UI"/>
      <family val="3"/>
      <charset val="128"/>
    </font>
    <font>
      <b/>
      <sz val="13"/>
      <name val="Noto Sans CJK SC"/>
      <family val="2"/>
    </font>
    <font>
      <sz val="11"/>
      <name val="Meiryo UI"/>
      <family val="3"/>
      <charset val="128"/>
    </font>
    <font>
      <sz val="11"/>
      <name val="Noto Sans CJK SC"/>
      <family val="2"/>
    </font>
    <font>
      <b/>
      <sz val="12"/>
      <name val="Noto Sans CJK SC"/>
      <family val="2"/>
    </font>
    <font>
      <sz val="6"/>
      <name val="ＭＳ Ｐゴシック"/>
      <family val="3"/>
      <charset val="128"/>
    </font>
    <font>
      <b/>
      <sz val="1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2E4E7E"/>
        <bgColor rgb="FF595959"/>
      </patternFill>
    </fill>
    <fill>
      <patternFill patternType="solid">
        <fgColor rgb="FFF2F2F2"/>
        <b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176" fontId="3" fillId="0" borderId="0" xfId="0" applyNumberFormat="1" applyFont="1"/>
    <xf numFmtId="0" fontId="4" fillId="0" borderId="0" xfId="0" applyFont="1"/>
    <xf numFmtId="176" fontId="1" fillId="0" borderId="0" xfId="0" applyNumberFormat="1" applyFont="1"/>
    <xf numFmtId="177" fontId="3" fillId="0" borderId="0" xfId="0" applyNumberFormat="1" applyFont="1"/>
    <xf numFmtId="176" fontId="5" fillId="0" borderId="0" xfId="0" applyNumberFormat="1" applyFont="1"/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78" fontId="8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178" fontId="3" fillId="0" borderId="1" xfId="0" applyNumberFormat="1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178" fontId="3" fillId="3" borderId="1" xfId="0" applyNumberFormat="1" applyFont="1" applyFill="1" applyBorder="1"/>
    <xf numFmtId="0" fontId="11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4" fillId="0" borderId="0" xfId="0" applyFont="1"/>
    <xf numFmtId="0" fontId="11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 wrapText="1"/>
    </xf>
    <xf numFmtId="0" fontId="7" fillId="2" borderId="0" xfId="0" applyFont="1" applyFill="1" applyAlignment="1">
      <alignment horizontal="center" vertical="center"/>
    </xf>
  </cellXfs>
  <cellStyles count="1">
    <cellStyle name="標準" xfId="0" builtinId="0"/>
  </cellStyles>
  <dxfs count="50">
    <dxf>
      <font>
        <b/>
        <sz val="11"/>
        <color rgb="FFC00000"/>
        <name val="Meiryo UI"/>
        <charset val="1"/>
      </font>
    </dxf>
    <dxf>
      <font>
        <b/>
        <sz val="11"/>
        <color rgb="FF375623"/>
        <name val="Meiryo UI"/>
        <charset val="1"/>
      </font>
    </dxf>
    <dxf>
      <fill>
        <patternFill>
          <bgColor rgb="FFED7D31"/>
        </patternFill>
      </fill>
    </dxf>
    <dxf>
      <fill>
        <patternFill>
          <bgColor rgb="FF70AD47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ED7D31"/>
        </patternFill>
      </fill>
    </dxf>
    <dxf>
      <font>
        <b/>
        <sz val="11"/>
        <color rgb="FF375623"/>
        <name val="Meiryo UI"/>
        <charset val="1"/>
      </font>
    </dxf>
    <dxf>
      <font>
        <b/>
        <sz val="11"/>
        <color rgb="FFC00000"/>
        <name val="Meiryo UI"/>
        <charset val="1"/>
      </font>
    </dxf>
    <dxf>
      <fill>
        <patternFill>
          <bgColor rgb="FF4472C4"/>
        </patternFill>
      </fill>
    </dxf>
    <dxf>
      <font>
        <b/>
        <sz val="11"/>
        <color rgb="FFC00000"/>
        <name val="Meiryo UI"/>
        <charset val="1"/>
      </font>
    </dxf>
    <dxf>
      <fill>
        <patternFill>
          <bgColor rgb="FF70AD47"/>
        </patternFill>
      </fill>
    </dxf>
    <dxf>
      <fill>
        <patternFill>
          <bgColor rgb="FFED7D31"/>
        </patternFill>
      </fill>
    </dxf>
    <dxf>
      <font>
        <b/>
        <sz val="11"/>
        <color rgb="FF375623"/>
        <name val="Meiryo UI"/>
        <charset val="1"/>
      </font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ED7D31"/>
        </patternFill>
      </fill>
    </dxf>
    <dxf>
      <font>
        <b/>
        <sz val="11"/>
        <color rgb="FF375623"/>
        <name val="Meiryo UI"/>
        <charset val="1"/>
      </font>
    </dxf>
    <dxf>
      <font>
        <b/>
        <sz val="11"/>
        <color rgb="FFC00000"/>
        <name val="Meiryo UI"/>
        <charset val="1"/>
      </font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ont>
        <b/>
        <sz val="11"/>
        <color rgb="FFC00000"/>
        <name val="Meiryo UI"/>
        <charset val="1"/>
      </font>
    </dxf>
    <dxf>
      <font>
        <b/>
        <sz val="11"/>
        <color rgb="FF375623"/>
        <name val="Meiryo UI"/>
        <charset val="1"/>
      </font>
    </dxf>
    <dxf>
      <fill>
        <patternFill>
          <bgColor rgb="FFED7D31"/>
        </patternFill>
      </fill>
    </dxf>
    <dxf>
      <fill>
        <patternFill>
          <bgColor rgb="FF4472C4"/>
        </patternFill>
      </fill>
    </dxf>
    <dxf>
      <font>
        <b/>
        <sz val="11"/>
        <color rgb="FFC00000"/>
        <name val="Meiryo UI"/>
        <charset val="1"/>
      </font>
    </dxf>
    <dxf>
      <font>
        <b/>
        <sz val="11"/>
        <color rgb="FF375623"/>
        <name val="Meiryo UI"/>
        <charset val="1"/>
      </font>
    </dxf>
    <dxf>
      <fill>
        <patternFill>
          <bgColor rgb="FFED7D31"/>
        </patternFill>
      </fill>
    </dxf>
    <dxf>
      <fill>
        <patternFill>
          <bgColor rgb="FF70AD47"/>
        </patternFill>
      </fill>
    </dxf>
    <dxf>
      <fill>
        <patternFill>
          <bgColor rgb="FF4472C4"/>
        </patternFill>
      </fill>
    </dxf>
    <dxf>
      <fill>
        <patternFill>
          <bgColor rgb="FFE7E6E6"/>
        </patternFill>
      </fill>
    </dxf>
    <dxf>
      <fill>
        <patternFill>
          <bgColor rgb="FFFFD966"/>
        </patternFill>
      </fill>
    </dxf>
    <dxf>
      <fill>
        <patternFill>
          <bgColor rgb="FFFFC7CE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FC7CE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FC7CE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FC7CE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2F2F2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FC7CE"/>
      <rgbColor rgb="FF4472C4"/>
      <rgbColor rgb="FF33CCCC"/>
      <rgbColor rgb="FF99CC00"/>
      <rgbColor rgb="FFFFD966"/>
      <rgbColor rgb="FFFF9900"/>
      <rgbColor rgb="FFED7D31"/>
      <rgbColor rgb="FF595959"/>
      <rgbColor rgb="FFA6A6A6"/>
      <rgbColor rgb="FF003366"/>
      <rgbColor rgb="FF70AD47"/>
      <rgbColor rgb="FF003300"/>
      <rgbColor rgb="FF333300"/>
      <rgbColor rgb="FF993300"/>
      <rgbColor rgb="FF993366"/>
      <rgbColor rgb="FF2E4E7E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8"/>
  <sheetViews>
    <sheetView tabSelected="1" zoomScaleNormal="100" workbookViewId="0">
      <pane ySplit="6" topLeftCell="A7" activePane="bottomLeft" state="frozen"/>
      <selection pane="bottomLeft" activeCell="E3" sqref="E3"/>
    </sheetView>
  </sheetViews>
  <sheetFormatPr defaultColWidth="8.7109375" defaultRowHeight="15"/>
  <cols>
    <col min="1" max="1" width="5" customWidth="1"/>
    <col min="2" max="2" width="24" customWidth="1"/>
    <col min="3" max="3" width="9" customWidth="1"/>
    <col min="4" max="4" width="11.85546875" customWidth="1"/>
    <col min="5" max="5" width="12.42578125" customWidth="1"/>
    <col min="6" max="6" width="9" customWidth="1"/>
    <col min="7" max="8" width="8" customWidth="1"/>
    <col min="9" max="9" width="13" customWidth="1"/>
    <col min="10" max="10" width="12" customWidth="1"/>
    <col min="11" max="71" width="4.42578125" customWidth="1"/>
  </cols>
  <sheetData>
    <row r="1" spans="1:70">
      <c r="A1" s="1" t="s">
        <v>0</v>
      </c>
      <c r="B1" s="2" t="s">
        <v>1</v>
      </c>
      <c r="D1" s="1" t="s">
        <v>2</v>
      </c>
      <c r="E1" s="3">
        <v>46212</v>
      </c>
    </row>
    <row r="2" spans="1:70">
      <c r="A2" s="4" t="s">
        <v>3</v>
      </c>
      <c r="B2" s="2" t="s">
        <v>4</v>
      </c>
      <c r="D2" s="1" t="s">
        <v>5</v>
      </c>
      <c r="E2" s="2">
        <v>60</v>
      </c>
    </row>
    <row r="3" spans="1:70">
      <c r="A3" s="5" t="s">
        <v>6</v>
      </c>
      <c r="B3" s="6">
        <v>46212</v>
      </c>
      <c r="D3" s="1" t="s">
        <v>7</v>
      </c>
      <c r="E3" s="7">
        <f ca="1">TODAY()</f>
        <v>46213</v>
      </c>
    </row>
    <row r="5" spans="1:70" ht="27">
      <c r="A5" s="8" t="s">
        <v>8</v>
      </c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9" t="s">
        <v>14</v>
      </c>
      <c r="H5" s="9" t="s">
        <v>15</v>
      </c>
      <c r="I5" s="9" t="s">
        <v>16</v>
      </c>
      <c r="J5" s="9" t="s">
        <v>17</v>
      </c>
      <c r="K5" s="38" t="s">
        <v>18</v>
      </c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</row>
    <row r="6" spans="1:70" ht="15.75" customHeight="1">
      <c r="K6" s="10">
        <f>$E$1+0</f>
        <v>46212</v>
      </c>
      <c r="L6" s="10">
        <f>$E$1+1</f>
        <v>46213</v>
      </c>
      <c r="M6" s="10">
        <f>$E$1+2</f>
        <v>46214</v>
      </c>
      <c r="N6" s="10">
        <f>$E$1+3</f>
        <v>46215</v>
      </c>
      <c r="O6" s="10">
        <f>$E$1+4</f>
        <v>46216</v>
      </c>
      <c r="P6" s="10">
        <f>$E$1+5</f>
        <v>46217</v>
      </c>
      <c r="Q6" s="10">
        <f>$E$1+6</f>
        <v>46218</v>
      </c>
      <c r="R6" s="10">
        <f>$E$1+7</f>
        <v>46219</v>
      </c>
      <c r="S6" s="10">
        <f>$E$1+8</f>
        <v>46220</v>
      </c>
      <c r="T6" s="10">
        <f>$E$1+9</f>
        <v>46221</v>
      </c>
      <c r="U6" s="10">
        <f>$E$1+10</f>
        <v>46222</v>
      </c>
      <c r="V6" s="10">
        <f>$E$1+11</f>
        <v>46223</v>
      </c>
      <c r="W6" s="10">
        <f>$E$1+12</f>
        <v>46224</v>
      </c>
      <c r="X6" s="10">
        <f>$E$1+13</f>
        <v>46225</v>
      </c>
      <c r="Y6" s="10">
        <f>$E$1+14</f>
        <v>46226</v>
      </c>
      <c r="Z6" s="10">
        <f>$E$1+15</f>
        <v>46227</v>
      </c>
      <c r="AA6" s="10">
        <f>$E$1+16</f>
        <v>46228</v>
      </c>
      <c r="AB6" s="10">
        <f>$E$1+17</f>
        <v>46229</v>
      </c>
      <c r="AC6" s="10">
        <f>$E$1+18</f>
        <v>46230</v>
      </c>
      <c r="AD6" s="10">
        <f>$E$1+19</f>
        <v>46231</v>
      </c>
      <c r="AE6" s="10">
        <f>$E$1+20</f>
        <v>46232</v>
      </c>
      <c r="AF6" s="10">
        <f>$E$1+21</f>
        <v>46233</v>
      </c>
      <c r="AG6" s="10">
        <f>$E$1+22</f>
        <v>46234</v>
      </c>
      <c r="AH6" s="10">
        <f>$E$1+23</f>
        <v>46235</v>
      </c>
      <c r="AI6" s="10">
        <f>$E$1+24</f>
        <v>46236</v>
      </c>
      <c r="AJ6" s="10">
        <f>$E$1+25</f>
        <v>46237</v>
      </c>
      <c r="AK6" s="10">
        <f>$E$1+26</f>
        <v>46238</v>
      </c>
      <c r="AL6" s="10">
        <f>$E$1+27</f>
        <v>46239</v>
      </c>
      <c r="AM6" s="10">
        <f>$E$1+28</f>
        <v>46240</v>
      </c>
      <c r="AN6" s="10">
        <f>$E$1+29</f>
        <v>46241</v>
      </c>
      <c r="AO6" s="10">
        <f>$E$1+30</f>
        <v>46242</v>
      </c>
      <c r="AP6" s="10">
        <f>$E$1+31</f>
        <v>46243</v>
      </c>
      <c r="AQ6" s="10">
        <f>$E$1+32</f>
        <v>46244</v>
      </c>
      <c r="AR6" s="10">
        <f>$E$1+33</f>
        <v>46245</v>
      </c>
      <c r="AS6" s="10">
        <f>$E$1+34</f>
        <v>46246</v>
      </c>
      <c r="AT6" s="10">
        <f>$E$1+35</f>
        <v>46247</v>
      </c>
      <c r="AU6" s="10">
        <f>$E$1+36</f>
        <v>46248</v>
      </c>
      <c r="AV6" s="10">
        <f>$E$1+37</f>
        <v>46249</v>
      </c>
      <c r="AW6" s="10">
        <f>$E$1+38</f>
        <v>46250</v>
      </c>
      <c r="AX6" s="10">
        <f>$E$1+39</f>
        <v>46251</v>
      </c>
      <c r="AY6" s="10">
        <f>$E$1+40</f>
        <v>46252</v>
      </c>
      <c r="AZ6" s="10">
        <f>$E$1+41</f>
        <v>46253</v>
      </c>
      <c r="BA6" s="10">
        <f>$E$1+42</f>
        <v>46254</v>
      </c>
      <c r="BB6" s="10">
        <f>$E$1+43</f>
        <v>46255</v>
      </c>
      <c r="BC6" s="10">
        <f>$E$1+44</f>
        <v>46256</v>
      </c>
      <c r="BD6" s="10">
        <f>$E$1+45</f>
        <v>46257</v>
      </c>
      <c r="BE6" s="10">
        <f>$E$1+46</f>
        <v>46258</v>
      </c>
      <c r="BF6" s="10">
        <f>$E$1+47</f>
        <v>46259</v>
      </c>
      <c r="BG6" s="10">
        <f>$E$1+48</f>
        <v>46260</v>
      </c>
      <c r="BH6" s="10">
        <f>$E$1+49</f>
        <v>46261</v>
      </c>
      <c r="BI6" s="10">
        <f>$E$1+50</f>
        <v>46262</v>
      </c>
      <c r="BJ6" s="10">
        <f>$E$1+51</f>
        <v>46263</v>
      </c>
      <c r="BK6" s="10">
        <f>$E$1+52</f>
        <v>46264</v>
      </c>
      <c r="BL6" s="10">
        <f>$E$1+53</f>
        <v>46265</v>
      </c>
      <c r="BM6" s="10">
        <f>$E$1+54</f>
        <v>46266</v>
      </c>
      <c r="BN6" s="10">
        <f>$E$1+55</f>
        <v>46267</v>
      </c>
      <c r="BO6" s="10">
        <f>$E$1+56</f>
        <v>46268</v>
      </c>
      <c r="BP6" s="10">
        <f>$E$1+57</f>
        <v>46269</v>
      </c>
      <c r="BQ6" s="10">
        <f>$E$1+58</f>
        <v>46270</v>
      </c>
      <c r="BR6" s="10">
        <f>$E$1+59</f>
        <v>46271</v>
      </c>
    </row>
    <row r="7" spans="1:70" ht="15" customHeight="1">
      <c r="A7" s="34">
        <v>1</v>
      </c>
      <c r="B7" s="35" t="s">
        <v>19</v>
      </c>
      <c r="C7" s="36"/>
      <c r="D7" s="11" t="s">
        <v>20</v>
      </c>
      <c r="E7" s="12">
        <f>$E$1+0</f>
        <v>46212</v>
      </c>
      <c r="F7" s="12">
        <f>$E$1+6</f>
        <v>46218</v>
      </c>
      <c r="G7" s="13">
        <f>IF(AND(E7&lt;&gt;"",F7&lt;&gt;""),F7-E7+1,"")</f>
        <v>7</v>
      </c>
      <c r="H7" s="14" t="s">
        <v>21</v>
      </c>
      <c r="I7" s="14" t="s">
        <v>21</v>
      </c>
      <c r="J7" s="36" t="s">
        <v>22</v>
      </c>
      <c r="K7" s="15" t="str">
        <f t="shared" ref="K7:AP7" si="0">IF($J$7="マイルストーン",IF(K$6=$E7,"◆",""),"")</f>
        <v/>
      </c>
      <c r="L7" s="15" t="str">
        <f t="shared" si="0"/>
        <v/>
      </c>
      <c r="M7" s="15" t="str">
        <f t="shared" si="0"/>
        <v/>
      </c>
      <c r="N7" s="15" t="str">
        <f t="shared" si="0"/>
        <v/>
      </c>
      <c r="O7" s="15" t="str">
        <f t="shared" si="0"/>
        <v/>
      </c>
      <c r="P7" s="15" t="str">
        <f t="shared" si="0"/>
        <v/>
      </c>
      <c r="Q7" s="15" t="str">
        <f t="shared" si="0"/>
        <v/>
      </c>
      <c r="R7" s="15" t="str">
        <f t="shared" si="0"/>
        <v/>
      </c>
      <c r="S7" s="15" t="str">
        <f t="shared" si="0"/>
        <v/>
      </c>
      <c r="T7" s="15" t="str">
        <f t="shared" si="0"/>
        <v/>
      </c>
      <c r="U7" s="15" t="str">
        <f t="shared" si="0"/>
        <v/>
      </c>
      <c r="V7" s="15" t="str">
        <f t="shared" si="0"/>
        <v/>
      </c>
      <c r="W7" s="15" t="str">
        <f t="shared" si="0"/>
        <v/>
      </c>
      <c r="X7" s="15" t="str">
        <f t="shared" si="0"/>
        <v/>
      </c>
      <c r="Y7" s="15" t="str">
        <f t="shared" si="0"/>
        <v/>
      </c>
      <c r="Z7" s="15" t="str">
        <f t="shared" si="0"/>
        <v/>
      </c>
      <c r="AA7" s="15" t="str">
        <f t="shared" si="0"/>
        <v/>
      </c>
      <c r="AB7" s="15" t="str">
        <f t="shared" si="0"/>
        <v/>
      </c>
      <c r="AC7" s="15" t="str">
        <f t="shared" si="0"/>
        <v/>
      </c>
      <c r="AD7" s="15" t="str">
        <f t="shared" si="0"/>
        <v/>
      </c>
      <c r="AE7" s="15" t="str">
        <f t="shared" si="0"/>
        <v/>
      </c>
      <c r="AF7" s="15" t="str">
        <f t="shared" si="0"/>
        <v/>
      </c>
      <c r="AG7" s="15" t="str">
        <f t="shared" si="0"/>
        <v/>
      </c>
      <c r="AH7" s="15" t="str">
        <f t="shared" si="0"/>
        <v/>
      </c>
      <c r="AI7" s="15" t="str">
        <f t="shared" si="0"/>
        <v/>
      </c>
      <c r="AJ7" s="15" t="str">
        <f t="shared" si="0"/>
        <v/>
      </c>
      <c r="AK7" s="15" t="str">
        <f t="shared" si="0"/>
        <v/>
      </c>
      <c r="AL7" s="15" t="str">
        <f t="shared" si="0"/>
        <v/>
      </c>
      <c r="AM7" s="15" t="str">
        <f t="shared" si="0"/>
        <v/>
      </c>
      <c r="AN7" s="15" t="str">
        <f t="shared" si="0"/>
        <v/>
      </c>
      <c r="AO7" s="15" t="str">
        <f t="shared" si="0"/>
        <v/>
      </c>
      <c r="AP7" s="15" t="str">
        <f t="shared" si="0"/>
        <v/>
      </c>
      <c r="AQ7" s="15" t="str">
        <f t="shared" ref="AQ7:BR7" si="1">IF($J$7="マイルストーン",IF(AQ$6=$E7,"◆",""),"")</f>
        <v/>
      </c>
      <c r="AR7" s="15" t="str">
        <f t="shared" si="1"/>
        <v/>
      </c>
      <c r="AS7" s="15" t="str">
        <f t="shared" si="1"/>
        <v/>
      </c>
      <c r="AT7" s="15" t="str">
        <f t="shared" si="1"/>
        <v/>
      </c>
      <c r="AU7" s="15" t="str">
        <f t="shared" si="1"/>
        <v/>
      </c>
      <c r="AV7" s="15" t="str">
        <f t="shared" si="1"/>
        <v/>
      </c>
      <c r="AW7" s="15" t="str">
        <f t="shared" si="1"/>
        <v/>
      </c>
      <c r="AX7" s="15" t="str">
        <f t="shared" si="1"/>
        <v/>
      </c>
      <c r="AY7" s="15" t="str">
        <f t="shared" si="1"/>
        <v/>
      </c>
      <c r="AZ7" s="15" t="str">
        <f t="shared" si="1"/>
        <v/>
      </c>
      <c r="BA7" s="15" t="str">
        <f t="shared" si="1"/>
        <v/>
      </c>
      <c r="BB7" s="15" t="str">
        <f t="shared" si="1"/>
        <v/>
      </c>
      <c r="BC7" s="15" t="str">
        <f t="shared" si="1"/>
        <v/>
      </c>
      <c r="BD7" s="15" t="str">
        <f t="shared" si="1"/>
        <v/>
      </c>
      <c r="BE7" s="15" t="str">
        <f t="shared" si="1"/>
        <v/>
      </c>
      <c r="BF7" s="15" t="str">
        <f t="shared" si="1"/>
        <v/>
      </c>
      <c r="BG7" s="15" t="str">
        <f t="shared" si="1"/>
        <v/>
      </c>
      <c r="BH7" s="15" t="str">
        <f t="shared" si="1"/>
        <v/>
      </c>
      <c r="BI7" s="15" t="str">
        <f t="shared" si="1"/>
        <v/>
      </c>
      <c r="BJ7" s="15" t="str">
        <f t="shared" si="1"/>
        <v/>
      </c>
      <c r="BK7" s="15" t="str">
        <f t="shared" si="1"/>
        <v/>
      </c>
      <c r="BL7" s="15" t="str">
        <f t="shared" si="1"/>
        <v/>
      </c>
      <c r="BM7" s="15" t="str">
        <f t="shared" si="1"/>
        <v/>
      </c>
      <c r="BN7" s="15" t="str">
        <f t="shared" si="1"/>
        <v/>
      </c>
      <c r="BO7" s="15" t="str">
        <f t="shared" si="1"/>
        <v/>
      </c>
      <c r="BP7" s="15" t="str">
        <f t="shared" si="1"/>
        <v/>
      </c>
      <c r="BQ7" s="15" t="str">
        <f t="shared" si="1"/>
        <v/>
      </c>
      <c r="BR7" s="15" t="str">
        <f t="shared" si="1"/>
        <v/>
      </c>
    </row>
    <row r="8" spans="1:70" ht="15.75">
      <c r="A8" s="34"/>
      <c r="B8" s="34"/>
      <c r="C8" s="34"/>
      <c r="D8" s="11" t="s">
        <v>23</v>
      </c>
      <c r="E8" s="12">
        <f>$E$1+0</f>
        <v>46212</v>
      </c>
      <c r="F8" s="12">
        <f>$E$1+1</f>
        <v>46213</v>
      </c>
      <c r="G8" s="13">
        <f>IF(F8&lt;&gt;"",F8-E8+1,IF(E8&lt;&gt;"",$E$3-E8+1,""))</f>
        <v>2</v>
      </c>
      <c r="H8" s="16">
        <v>1</v>
      </c>
      <c r="I8" s="17" t="str">
        <f>IF(E8="",IF($E$3&gt;F7,"未着手（遅延）","未着手"),IF(F8&lt;&gt;"","完了",IF($E$3&gt;F7,"進行中（遅延）","進行中")))</f>
        <v>完了</v>
      </c>
      <c r="J8" s="36"/>
      <c r="K8" s="15" t="str">
        <f>IF($J$7="マイルストーン",IF(AND(E8&lt;&gt;"",K$6=E8),"◆",""),"")</f>
        <v/>
      </c>
      <c r="L8" s="15" t="str">
        <f>IF($J$7="マイルストーン",IF(AND(E8&lt;&gt;"",L$6=E8),"◆",""),"")</f>
        <v/>
      </c>
      <c r="M8" s="15" t="str">
        <f>IF($J$7="マイルストーン",IF(AND(E8&lt;&gt;"",M$6=E8),"◆",""),"")</f>
        <v/>
      </c>
      <c r="N8" s="15" t="str">
        <f>IF($J$7="マイルストーン",IF(AND(E8&lt;&gt;"",N$6=E8),"◆",""),"")</f>
        <v/>
      </c>
      <c r="O8" s="15" t="str">
        <f>IF($J$7="マイルストーン",IF(AND(E8&lt;&gt;"",O$6=E8),"◆",""),"")</f>
        <v/>
      </c>
      <c r="P8" s="15" t="str">
        <f>IF($J$7="マイルストーン",IF(AND(E8&lt;&gt;"",P$6=E8),"◆",""),"")</f>
        <v/>
      </c>
      <c r="Q8" s="15" t="str">
        <f>IF($J$7="マイルストーン",IF(AND(E8&lt;&gt;"",Q$6=E8),"◆",""),"")</f>
        <v/>
      </c>
      <c r="R8" s="15" t="str">
        <f>IF($J$7="マイルストーン",IF(AND(E8&lt;&gt;"",R$6=E8),"◆",""),"")</f>
        <v/>
      </c>
      <c r="S8" s="15" t="str">
        <f>IF($J$7="マイルストーン",IF(AND(E8&lt;&gt;"",S$6=E8),"◆",""),"")</f>
        <v/>
      </c>
      <c r="T8" s="15" t="str">
        <f>IF($J$7="マイルストーン",IF(AND(E8&lt;&gt;"",T$6=E8),"◆",""),"")</f>
        <v/>
      </c>
      <c r="U8" s="15" t="str">
        <f>IF($J$7="マイルストーン",IF(AND(E8&lt;&gt;"",U$6=E8),"◆",""),"")</f>
        <v/>
      </c>
      <c r="V8" s="15" t="str">
        <f>IF($J$7="マイルストーン",IF(AND(E8&lt;&gt;"",V$6=E8),"◆",""),"")</f>
        <v/>
      </c>
      <c r="W8" s="15" t="str">
        <f>IF($J$7="マイルストーン",IF(AND(E8&lt;&gt;"",W$6=E8),"◆",""),"")</f>
        <v/>
      </c>
      <c r="X8" s="15" t="str">
        <f>IF($J$7="マイルストーン",IF(AND(E8&lt;&gt;"",X$6=E8),"◆",""),"")</f>
        <v/>
      </c>
      <c r="Y8" s="15" t="str">
        <f>IF($J$7="マイルストーン",IF(AND(E8&lt;&gt;"",Y$6=E8),"◆",""),"")</f>
        <v/>
      </c>
      <c r="Z8" s="15" t="str">
        <f>IF($J$7="マイルストーン",IF(AND(E8&lt;&gt;"",Z$6=E8),"◆",""),"")</f>
        <v/>
      </c>
      <c r="AA8" s="15" t="str">
        <f>IF($J$7="マイルストーン",IF(AND(E8&lt;&gt;"",AA$6=E8),"◆",""),"")</f>
        <v/>
      </c>
      <c r="AB8" s="15" t="str">
        <f>IF($J$7="マイルストーン",IF(AND(E8&lt;&gt;"",AB$6=E8),"◆",""),"")</f>
        <v/>
      </c>
      <c r="AC8" s="15" t="str">
        <f>IF($J$7="マイルストーン",IF(AND(E8&lt;&gt;"",AC$6=E8),"◆",""),"")</f>
        <v/>
      </c>
      <c r="AD8" s="15" t="str">
        <f>IF($J$7="マイルストーン",IF(AND(E8&lt;&gt;"",AD$6=E8),"◆",""),"")</f>
        <v/>
      </c>
      <c r="AE8" s="15" t="str">
        <f>IF($J$7="マイルストーン",IF(AND(E8&lt;&gt;"",AE$6=E8),"◆",""),"")</f>
        <v/>
      </c>
      <c r="AF8" s="15" t="str">
        <f>IF($J$7="マイルストーン",IF(AND(E8&lt;&gt;"",AF$6=E8),"◆",""),"")</f>
        <v/>
      </c>
      <c r="AG8" s="15" t="str">
        <f>IF($J$7="マイルストーン",IF(AND(E8&lt;&gt;"",AG$6=E8),"◆",""),"")</f>
        <v/>
      </c>
      <c r="AH8" s="15" t="str">
        <f>IF($J$7="マイルストーン",IF(AND(E8&lt;&gt;"",AH$6=E8),"◆",""),"")</f>
        <v/>
      </c>
      <c r="AI8" s="15" t="str">
        <f>IF($J$7="マイルストーン",IF(AND(E8&lt;&gt;"",AI$6=E8),"◆",""),"")</f>
        <v/>
      </c>
      <c r="AJ8" s="15" t="str">
        <f>IF($J$7="マイルストーン",IF(AND(E8&lt;&gt;"",AJ$6=E8),"◆",""),"")</f>
        <v/>
      </c>
      <c r="AK8" s="15" t="str">
        <f>IF($J$7="マイルストーン",IF(AND(E8&lt;&gt;"",AK$6=E8),"◆",""),"")</f>
        <v/>
      </c>
      <c r="AL8" s="15" t="str">
        <f>IF($J$7="マイルストーン",IF(AND(E8&lt;&gt;"",AL$6=E8),"◆",""),"")</f>
        <v/>
      </c>
      <c r="AM8" s="15" t="str">
        <f>IF($J$7="マイルストーン",IF(AND(E8&lt;&gt;"",AM$6=E8),"◆",""),"")</f>
        <v/>
      </c>
      <c r="AN8" s="15" t="str">
        <f>IF($J$7="マイルストーン",IF(AND(E8&lt;&gt;"",AN$6=E8),"◆",""),"")</f>
        <v/>
      </c>
      <c r="AO8" s="15" t="str">
        <f>IF($J$7="マイルストーン",IF(AND(E8&lt;&gt;"",AO$6=E8),"◆",""),"")</f>
        <v/>
      </c>
      <c r="AP8" s="15" t="str">
        <f>IF($J$7="マイルストーン",IF(AND(E8&lt;&gt;"",AP$6=E8),"◆",""),"")</f>
        <v/>
      </c>
      <c r="AQ8" s="15" t="str">
        <f>IF($J$7="マイルストーン",IF(AND(E8&lt;&gt;"",AQ$6=E8),"◆",""),"")</f>
        <v/>
      </c>
      <c r="AR8" s="15" t="str">
        <f>IF($J$7="マイルストーン",IF(AND(E8&lt;&gt;"",AR$6=E8),"◆",""),"")</f>
        <v/>
      </c>
      <c r="AS8" s="15" t="str">
        <f>IF($J$7="マイルストーン",IF(AND(E8&lt;&gt;"",AS$6=E8),"◆",""),"")</f>
        <v/>
      </c>
      <c r="AT8" s="15" t="str">
        <f>IF($J$7="マイルストーン",IF(AND(E8&lt;&gt;"",AT$6=E8),"◆",""),"")</f>
        <v/>
      </c>
      <c r="AU8" s="15" t="str">
        <f>IF($J$7="マイルストーン",IF(AND(E8&lt;&gt;"",AU$6=E8),"◆",""),"")</f>
        <v/>
      </c>
      <c r="AV8" s="15" t="str">
        <f>IF($J$7="マイルストーン",IF(AND(E8&lt;&gt;"",AV$6=E8),"◆",""),"")</f>
        <v/>
      </c>
      <c r="AW8" s="15" t="str">
        <f>IF($J$7="マイルストーン",IF(AND(E8&lt;&gt;"",AW$6=E8),"◆",""),"")</f>
        <v/>
      </c>
      <c r="AX8" s="15" t="str">
        <f>IF($J$7="マイルストーン",IF(AND(E8&lt;&gt;"",AX$6=E8),"◆",""),"")</f>
        <v/>
      </c>
      <c r="AY8" s="15" t="str">
        <f>IF($J$7="マイルストーン",IF(AND(E8&lt;&gt;"",AY$6=E8),"◆",""),"")</f>
        <v/>
      </c>
      <c r="AZ8" s="15" t="str">
        <f>IF($J$7="マイルストーン",IF(AND(E8&lt;&gt;"",AZ$6=E8),"◆",""),"")</f>
        <v/>
      </c>
      <c r="BA8" s="15" t="str">
        <f>IF($J$7="マイルストーン",IF(AND(E8&lt;&gt;"",BA$6=E8),"◆",""),"")</f>
        <v/>
      </c>
      <c r="BB8" s="15" t="str">
        <f>IF($J$7="マイルストーン",IF(AND(E8&lt;&gt;"",BB$6=E8),"◆",""),"")</f>
        <v/>
      </c>
      <c r="BC8" s="15" t="str">
        <f>IF($J$7="マイルストーン",IF(AND(E8&lt;&gt;"",BC$6=E8),"◆",""),"")</f>
        <v/>
      </c>
      <c r="BD8" s="15" t="str">
        <f>IF($J$7="マイルストーン",IF(AND(E8&lt;&gt;"",BD$6=E8),"◆",""),"")</f>
        <v/>
      </c>
      <c r="BE8" s="15" t="str">
        <f>IF($J$7="マイルストーン",IF(AND(E8&lt;&gt;"",BE$6=E8),"◆",""),"")</f>
        <v/>
      </c>
      <c r="BF8" s="15" t="str">
        <f>IF($J$7="マイルストーン",IF(AND(E8&lt;&gt;"",BF$6=E8),"◆",""),"")</f>
        <v/>
      </c>
      <c r="BG8" s="15" t="str">
        <f>IF($J$7="マイルストーン",IF(AND(E8&lt;&gt;"",BG$6=E8),"◆",""),"")</f>
        <v/>
      </c>
      <c r="BH8" s="15" t="str">
        <f>IF($J$7="マイルストーン",IF(AND(E8&lt;&gt;"",BH$6=E8),"◆",""),"")</f>
        <v/>
      </c>
      <c r="BI8" s="15" t="str">
        <f>IF($J$7="マイルストーン",IF(AND(E8&lt;&gt;"",BI$6=E8),"◆",""),"")</f>
        <v/>
      </c>
      <c r="BJ8" s="15" t="str">
        <f>IF($J$7="マイルストーン",IF(AND(E8&lt;&gt;"",BJ$6=E8),"◆",""),"")</f>
        <v/>
      </c>
      <c r="BK8" s="15" t="str">
        <f>IF($J$7="マイルストーン",IF(AND(E8&lt;&gt;"",BK$6=E8),"◆",""),"")</f>
        <v/>
      </c>
      <c r="BL8" s="15" t="str">
        <f>IF($J$7="マイルストーン",IF(AND(E8&lt;&gt;"",BL$6=E8),"◆",""),"")</f>
        <v/>
      </c>
      <c r="BM8" s="15" t="str">
        <f>IF($J$7="マイルストーン",IF(AND(E8&lt;&gt;"",BM$6=E8),"◆",""),"")</f>
        <v/>
      </c>
      <c r="BN8" s="15" t="str">
        <f>IF($J$7="マイルストーン",IF(AND(E8&lt;&gt;"",BN$6=E8),"◆",""),"")</f>
        <v/>
      </c>
      <c r="BO8" s="15" t="str">
        <f>IF($J$7="マイルストーン",IF(AND(E8&lt;&gt;"",BO$6=E8),"◆",""),"")</f>
        <v/>
      </c>
      <c r="BP8" s="15" t="str">
        <f>IF($J$7="マイルストーン",IF(AND(E8&lt;&gt;"",BP$6=E8),"◆",""),"")</f>
        <v/>
      </c>
      <c r="BQ8" s="15" t="str">
        <f>IF($J$7="マイルストーン",IF(AND(E8&lt;&gt;"",BQ$6=E8),"◆",""),"")</f>
        <v/>
      </c>
      <c r="BR8" s="15" t="str">
        <f>IF($J$7="マイルストーン",IF(AND(E8&lt;&gt;"",BR$6=E8),"◆",""),"")</f>
        <v/>
      </c>
    </row>
    <row r="9" spans="1:70" ht="15" customHeight="1">
      <c r="A9" s="30">
        <v>2</v>
      </c>
      <c r="B9" s="31" t="s">
        <v>45</v>
      </c>
      <c r="C9" s="32"/>
      <c r="D9" s="18" t="s">
        <v>20</v>
      </c>
      <c r="E9" s="19">
        <f>$E$1+7</f>
        <v>46219</v>
      </c>
      <c r="F9" s="19">
        <f>$E$1+13</f>
        <v>46225</v>
      </c>
      <c r="G9" s="20">
        <f>IF(AND(E9&lt;&gt;"",F9&lt;&gt;""),F9-E9+1,"")</f>
        <v>7</v>
      </c>
      <c r="H9" s="21" t="s">
        <v>21</v>
      </c>
      <c r="I9" s="21" t="s">
        <v>21</v>
      </c>
      <c r="J9" s="32" t="s">
        <v>22</v>
      </c>
      <c r="K9" s="22" t="str">
        <f t="shared" ref="K9:AP9" si="2">IF($J$9="マイルストーン",IF(K$6=$E9,"◆",""),"")</f>
        <v/>
      </c>
      <c r="L9" s="22" t="str">
        <f t="shared" si="2"/>
        <v/>
      </c>
      <c r="M9" s="22" t="str">
        <f t="shared" si="2"/>
        <v/>
      </c>
      <c r="N9" s="22" t="str">
        <f t="shared" si="2"/>
        <v/>
      </c>
      <c r="O9" s="22" t="str">
        <f t="shared" si="2"/>
        <v/>
      </c>
      <c r="P9" s="22" t="str">
        <f t="shared" si="2"/>
        <v/>
      </c>
      <c r="Q9" s="22" t="str">
        <f t="shared" si="2"/>
        <v/>
      </c>
      <c r="R9" s="22" t="str">
        <f t="shared" si="2"/>
        <v/>
      </c>
      <c r="S9" s="22" t="str">
        <f t="shared" si="2"/>
        <v/>
      </c>
      <c r="T9" s="22" t="str">
        <f t="shared" si="2"/>
        <v/>
      </c>
      <c r="U9" s="22" t="str">
        <f t="shared" si="2"/>
        <v/>
      </c>
      <c r="V9" s="22" t="str">
        <f t="shared" si="2"/>
        <v/>
      </c>
      <c r="W9" s="22" t="str">
        <f t="shared" si="2"/>
        <v/>
      </c>
      <c r="X9" s="22" t="str">
        <f t="shared" si="2"/>
        <v/>
      </c>
      <c r="Y9" s="22" t="str">
        <f t="shared" si="2"/>
        <v/>
      </c>
      <c r="Z9" s="22" t="str">
        <f t="shared" si="2"/>
        <v/>
      </c>
      <c r="AA9" s="22" t="str">
        <f t="shared" si="2"/>
        <v/>
      </c>
      <c r="AB9" s="22" t="str">
        <f t="shared" si="2"/>
        <v/>
      </c>
      <c r="AC9" s="22" t="str">
        <f t="shared" si="2"/>
        <v/>
      </c>
      <c r="AD9" s="22" t="str">
        <f t="shared" si="2"/>
        <v/>
      </c>
      <c r="AE9" s="22" t="str">
        <f t="shared" si="2"/>
        <v/>
      </c>
      <c r="AF9" s="22" t="str">
        <f t="shared" si="2"/>
        <v/>
      </c>
      <c r="AG9" s="22" t="str">
        <f t="shared" si="2"/>
        <v/>
      </c>
      <c r="AH9" s="22" t="str">
        <f t="shared" si="2"/>
        <v/>
      </c>
      <c r="AI9" s="22" t="str">
        <f t="shared" si="2"/>
        <v/>
      </c>
      <c r="AJ9" s="22" t="str">
        <f t="shared" si="2"/>
        <v/>
      </c>
      <c r="AK9" s="22" t="str">
        <f t="shared" si="2"/>
        <v/>
      </c>
      <c r="AL9" s="22" t="str">
        <f t="shared" si="2"/>
        <v/>
      </c>
      <c r="AM9" s="22" t="str">
        <f t="shared" si="2"/>
        <v/>
      </c>
      <c r="AN9" s="22" t="str">
        <f t="shared" si="2"/>
        <v/>
      </c>
      <c r="AO9" s="22" t="str">
        <f t="shared" si="2"/>
        <v/>
      </c>
      <c r="AP9" s="22" t="str">
        <f t="shared" si="2"/>
        <v/>
      </c>
      <c r="AQ9" s="22" t="str">
        <f t="shared" ref="AQ9:BR9" si="3">IF($J$9="マイルストーン",IF(AQ$6=$E9,"◆",""),"")</f>
        <v/>
      </c>
      <c r="AR9" s="22" t="str">
        <f t="shared" si="3"/>
        <v/>
      </c>
      <c r="AS9" s="22" t="str">
        <f t="shared" si="3"/>
        <v/>
      </c>
      <c r="AT9" s="22" t="str">
        <f t="shared" si="3"/>
        <v/>
      </c>
      <c r="AU9" s="22" t="str">
        <f t="shared" si="3"/>
        <v/>
      </c>
      <c r="AV9" s="22" t="str">
        <f t="shared" si="3"/>
        <v/>
      </c>
      <c r="AW9" s="22" t="str">
        <f t="shared" si="3"/>
        <v/>
      </c>
      <c r="AX9" s="22" t="str">
        <f t="shared" si="3"/>
        <v/>
      </c>
      <c r="AY9" s="22" t="str">
        <f t="shared" si="3"/>
        <v/>
      </c>
      <c r="AZ9" s="22" t="str">
        <f t="shared" si="3"/>
        <v/>
      </c>
      <c r="BA9" s="22" t="str">
        <f t="shared" si="3"/>
        <v/>
      </c>
      <c r="BB9" s="22" t="str">
        <f t="shared" si="3"/>
        <v/>
      </c>
      <c r="BC9" s="22" t="str">
        <f t="shared" si="3"/>
        <v/>
      </c>
      <c r="BD9" s="22" t="str">
        <f t="shared" si="3"/>
        <v/>
      </c>
      <c r="BE9" s="22" t="str">
        <f t="shared" si="3"/>
        <v/>
      </c>
      <c r="BF9" s="22" t="str">
        <f t="shared" si="3"/>
        <v/>
      </c>
      <c r="BG9" s="22" t="str">
        <f t="shared" si="3"/>
        <v/>
      </c>
      <c r="BH9" s="22" t="str">
        <f t="shared" si="3"/>
        <v/>
      </c>
      <c r="BI9" s="22" t="str">
        <f t="shared" si="3"/>
        <v/>
      </c>
      <c r="BJ9" s="22" t="str">
        <f t="shared" si="3"/>
        <v/>
      </c>
      <c r="BK9" s="22" t="str">
        <f t="shared" si="3"/>
        <v/>
      </c>
      <c r="BL9" s="22" t="str">
        <f t="shared" si="3"/>
        <v/>
      </c>
      <c r="BM9" s="22" t="str">
        <f t="shared" si="3"/>
        <v/>
      </c>
      <c r="BN9" s="22" t="str">
        <f t="shared" si="3"/>
        <v/>
      </c>
      <c r="BO9" s="22" t="str">
        <f t="shared" si="3"/>
        <v/>
      </c>
      <c r="BP9" s="22" t="str">
        <f t="shared" si="3"/>
        <v/>
      </c>
      <c r="BQ9" s="22" t="str">
        <f t="shared" si="3"/>
        <v/>
      </c>
      <c r="BR9" s="22" t="str">
        <f t="shared" si="3"/>
        <v/>
      </c>
    </row>
    <row r="10" spans="1:70" ht="15.75">
      <c r="A10" s="30"/>
      <c r="B10" s="30"/>
      <c r="C10" s="30"/>
      <c r="D10" s="18" t="s">
        <v>23</v>
      </c>
      <c r="E10" s="19">
        <v>46213</v>
      </c>
      <c r="F10" s="19"/>
      <c r="G10" s="20">
        <f ca="1">IF(F10&lt;&gt;"",F10-E10+1,IF(E10&lt;&gt;"",$E$3-E10+1,""))</f>
        <v>1</v>
      </c>
      <c r="H10" s="23"/>
      <c r="I10" s="24" t="str">
        <f ca="1">IF(E10="",IF($E$3&gt;F9,"未着手（遅延）","未着手"),IF(F10&lt;&gt;"","完了",IF($E$3&gt;F9,"進行中（遅延）","進行中")))</f>
        <v>進行中</v>
      </c>
      <c r="J10" s="32"/>
      <c r="K10" s="22" t="str">
        <f>IF($J$9="マイルストーン",IF(AND(E10&lt;&gt;"",K$6=E10),"◆",""),"")</f>
        <v/>
      </c>
      <c r="L10" s="22" t="str">
        <f>IF($J$9="マイルストーン",IF(AND(E10&lt;&gt;"",L$6=E10),"◆",""),"")</f>
        <v/>
      </c>
      <c r="M10" s="22" t="str">
        <f>IF($J$9="マイルストーン",IF(AND(E10&lt;&gt;"",M$6=E10),"◆",""),"")</f>
        <v/>
      </c>
      <c r="N10" s="22" t="str">
        <f>IF($J$9="マイルストーン",IF(AND(E10&lt;&gt;"",N$6=E10),"◆",""),"")</f>
        <v/>
      </c>
      <c r="O10" s="22" t="str">
        <f>IF($J$9="マイルストーン",IF(AND(E10&lt;&gt;"",O$6=E10),"◆",""),"")</f>
        <v/>
      </c>
      <c r="P10" s="22" t="str">
        <f>IF($J$9="マイルストーン",IF(AND(E10&lt;&gt;"",P$6=E10),"◆",""),"")</f>
        <v/>
      </c>
      <c r="Q10" s="22" t="str">
        <f>IF($J$9="マイルストーン",IF(AND(E10&lt;&gt;"",Q$6=E10),"◆",""),"")</f>
        <v/>
      </c>
      <c r="R10" s="22" t="str">
        <f>IF($J$9="マイルストーン",IF(AND(E10&lt;&gt;"",R$6=E10),"◆",""),"")</f>
        <v/>
      </c>
      <c r="S10" s="22" t="str">
        <f>IF($J$9="マイルストーン",IF(AND(E10&lt;&gt;"",S$6=E10),"◆",""),"")</f>
        <v/>
      </c>
      <c r="T10" s="22" t="str">
        <f>IF($J$9="マイルストーン",IF(AND(E10&lt;&gt;"",T$6=E10),"◆",""),"")</f>
        <v/>
      </c>
      <c r="U10" s="22" t="str">
        <f>IF($J$9="マイルストーン",IF(AND(E10&lt;&gt;"",U$6=E10),"◆",""),"")</f>
        <v/>
      </c>
      <c r="V10" s="22" t="str">
        <f>IF($J$9="マイルストーン",IF(AND(E10&lt;&gt;"",V$6=E10),"◆",""),"")</f>
        <v/>
      </c>
      <c r="W10" s="22" t="str">
        <f>IF($J$9="マイルストーン",IF(AND(E10&lt;&gt;"",W$6=E10),"◆",""),"")</f>
        <v/>
      </c>
      <c r="X10" s="22" t="str">
        <f>IF($J$9="マイルストーン",IF(AND(E10&lt;&gt;"",X$6=E10),"◆",""),"")</f>
        <v/>
      </c>
      <c r="Y10" s="22" t="str">
        <f>IF($J$9="マイルストーン",IF(AND(E10&lt;&gt;"",Y$6=E10),"◆",""),"")</f>
        <v/>
      </c>
      <c r="Z10" s="22" t="str">
        <f>IF($J$9="マイルストーン",IF(AND(E10&lt;&gt;"",Z$6=E10),"◆",""),"")</f>
        <v/>
      </c>
      <c r="AA10" s="22" t="str">
        <f>IF($J$9="マイルストーン",IF(AND(E10&lt;&gt;"",AA$6=E10),"◆",""),"")</f>
        <v/>
      </c>
      <c r="AB10" s="22" t="str">
        <f>IF($J$9="マイルストーン",IF(AND(E10&lt;&gt;"",AB$6=E10),"◆",""),"")</f>
        <v/>
      </c>
      <c r="AC10" s="22" t="str">
        <f>IF($J$9="マイルストーン",IF(AND(E10&lt;&gt;"",AC$6=E10),"◆",""),"")</f>
        <v/>
      </c>
      <c r="AD10" s="22" t="str">
        <f>IF($J$9="マイルストーン",IF(AND(E10&lt;&gt;"",AD$6=E10),"◆",""),"")</f>
        <v/>
      </c>
      <c r="AE10" s="22" t="str">
        <f>IF($J$9="マイルストーン",IF(AND(E10&lt;&gt;"",AE$6=E10),"◆",""),"")</f>
        <v/>
      </c>
      <c r="AF10" s="22" t="str">
        <f>IF($J$9="マイルストーン",IF(AND(E10&lt;&gt;"",AF$6=E10),"◆",""),"")</f>
        <v/>
      </c>
      <c r="AG10" s="22" t="str">
        <f>IF($J$9="マイルストーン",IF(AND(E10&lt;&gt;"",AG$6=E10),"◆",""),"")</f>
        <v/>
      </c>
      <c r="AH10" s="22" t="str">
        <f>IF($J$9="マイルストーン",IF(AND(E10&lt;&gt;"",AH$6=E10),"◆",""),"")</f>
        <v/>
      </c>
      <c r="AI10" s="22" t="str">
        <f>IF($J$9="マイルストーン",IF(AND(E10&lt;&gt;"",AI$6=E10),"◆",""),"")</f>
        <v/>
      </c>
      <c r="AJ10" s="22" t="str">
        <f>IF($J$9="マイルストーン",IF(AND(E10&lt;&gt;"",AJ$6=E10),"◆",""),"")</f>
        <v/>
      </c>
      <c r="AK10" s="22" t="str">
        <f>IF($J$9="マイルストーン",IF(AND(E10&lt;&gt;"",AK$6=E10),"◆",""),"")</f>
        <v/>
      </c>
      <c r="AL10" s="22" t="str">
        <f>IF($J$9="マイルストーン",IF(AND(E10&lt;&gt;"",AL$6=E10),"◆",""),"")</f>
        <v/>
      </c>
      <c r="AM10" s="22" t="str">
        <f>IF($J$9="マイルストーン",IF(AND(E10&lt;&gt;"",AM$6=E10),"◆",""),"")</f>
        <v/>
      </c>
      <c r="AN10" s="22" t="str">
        <f>IF($J$9="マイルストーン",IF(AND(E10&lt;&gt;"",AN$6=E10),"◆",""),"")</f>
        <v/>
      </c>
      <c r="AO10" s="22" t="str">
        <f>IF($J$9="マイルストーン",IF(AND(E10&lt;&gt;"",AO$6=E10),"◆",""),"")</f>
        <v/>
      </c>
      <c r="AP10" s="22" t="str">
        <f>IF($J$9="マイルストーン",IF(AND(E10&lt;&gt;"",AP$6=E10),"◆",""),"")</f>
        <v/>
      </c>
      <c r="AQ10" s="22" t="str">
        <f>IF($J$9="マイルストーン",IF(AND(E10&lt;&gt;"",AQ$6=E10),"◆",""),"")</f>
        <v/>
      </c>
      <c r="AR10" s="22" t="str">
        <f>IF($J$9="マイルストーン",IF(AND(E10&lt;&gt;"",AR$6=E10),"◆",""),"")</f>
        <v/>
      </c>
      <c r="AS10" s="22" t="str">
        <f>IF($J$9="マイルストーン",IF(AND(E10&lt;&gt;"",AS$6=E10),"◆",""),"")</f>
        <v/>
      </c>
      <c r="AT10" s="22" t="str">
        <f>IF($J$9="マイルストーン",IF(AND(E10&lt;&gt;"",AT$6=E10),"◆",""),"")</f>
        <v/>
      </c>
      <c r="AU10" s="22" t="str">
        <f>IF($J$9="マイルストーン",IF(AND(E10&lt;&gt;"",AU$6=E10),"◆",""),"")</f>
        <v/>
      </c>
      <c r="AV10" s="22" t="str">
        <f>IF($J$9="マイルストーン",IF(AND(E10&lt;&gt;"",AV$6=E10),"◆",""),"")</f>
        <v/>
      </c>
      <c r="AW10" s="22" t="str">
        <f>IF($J$9="マイルストーン",IF(AND(E10&lt;&gt;"",AW$6=E10),"◆",""),"")</f>
        <v/>
      </c>
      <c r="AX10" s="22" t="str">
        <f>IF($J$9="マイルストーン",IF(AND(E10&lt;&gt;"",AX$6=E10),"◆",""),"")</f>
        <v/>
      </c>
      <c r="AY10" s="22" t="str">
        <f>IF($J$9="マイルストーン",IF(AND(E10&lt;&gt;"",AY$6=E10),"◆",""),"")</f>
        <v/>
      </c>
      <c r="AZ10" s="22" t="str">
        <f>IF($J$9="マイルストーン",IF(AND(E10&lt;&gt;"",AZ$6=E10),"◆",""),"")</f>
        <v/>
      </c>
      <c r="BA10" s="22" t="str">
        <f>IF($J$9="マイルストーン",IF(AND(E10&lt;&gt;"",BA$6=E10),"◆",""),"")</f>
        <v/>
      </c>
      <c r="BB10" s="22" t="str">
        <f>IF($J$9="マイルストーン",IF(AND(E10&lt;&gt;"",BB$6=E10),"◆",""),"")</f>
        <v/>
      </c>
      <c r="BC10" s="22" t="str">
        <f>IF($J$9="マイルストーン",IF(AND(E10&lt;&gt;"",BC$6=E10),"◆",""),"")</f>
        <v/>
      </c>
      <c r="BD10" s="22" t="str">
        <f>IF($J$9="マイルストーン",IF(AND(E10&lt;&gt;"",BD$6=E10),"◆",""),"")</f>
        <v/>
      </c>
      <c r="BE10" s="22" t="str">
        <f>IF($J$9="マイルストーン",IF(AND(E10&lt;&gt;"",BE$6=E10),"◆",""),"")</f>
        <v/>
      </c>
      <c r="BF10" s="22" t="str">
        <f>IF($J$9="マイルストーン",IF(AND(E10&lt;&gt;"",BF$6=E10),"◆",""),"")</f>
        <v/>
      </c>
      <c r="BG10" s="22" t="str">
        <f>IF($J$9="マイルストーン",IF(AND(E10&lt;&gt;"",BG$6=E10),"◆",""),"")</f>
        <v/>
      </c>
      <c r="BH10" s="22" t="str">
        <f>IF($J$9="マイルストーン",IF(AND(E10&lt;&gt;"",BH$6=E10),"◆",""),"")</f>
        <v/>
      </c>
      <c r="BI10" s="22" t="str">
        <f>IF($J$9="マイルストーン",IF(AND(E10&lt;&gt;"",BI$6=E10),"◆",""),"")</f>
        <v/>
      </c>
      <c r="BJ10" s="22" t="str">
        <f>IF($J$9="マイルストーン",IF(AND(E10&lt;&gt;"",BJ$6=E10),"◆",""),"")</f>
        <v/>
      </c>
      <c r="BK10" s="22" t="str">
        <f>IF($J$9="マイルストーン",IF(AND(E10&lt;&gt;"",BK$6=E10),"◆",""),"")</f>
        <v/>
      </c>
      <c r="BL10" s="22" t="str">
        <f>IF($J$9="マイルストーン",IF(AND(E10&lt;&gt;"",BL$6=E10),"◆",""),"")</f>
        <v/>
      </c>
      <c r="BM10" s="22" t="str">
        <f>IF($J$9="マイルストーン",IF(AND(E10&lt;&gt;"",BM$6=E10),"◆",""),"")</f>
        <v/>
      </c>
      <c r="BN10" s="22" t="str">
        <f>IF($J$9="マイルストーン",IF(AND(E10&lt;&gt;"",BN$6=E10),"◆",""),"")</f>
        <v/>
      </c>
      <c r="BO10" s="22" t="str">
        <f>IF($J$9="マイルストーン",IF(AND(E10&lt;&gt;"",BO$6=E10),"◆",""),"")</f>
        <v/>
      </c>
      <c r="BP10" s="22" t="str">
        <f>IF($J$9="マイルストーン",IF(AND(E10&lt;&gt;"",BP$6=E10),"◆",""),"")</f>
        <v/>
      </c>
      <c r="BQ10" s="22" t="str">
        <f>IF($J$9="マイルストーン",IF(AND(E10&lt;&gt;"",BQ$6=E10),"◆",""),"")</f>
        <v/>
      </c>
      <c r="BR10" s="22" t="str">
        <f>IF($J$9="マイルストーン",IF(AND(E10&lt;&gt;"",BR$6=E10),"◆",""),"")</f>
        <v/>
      </c>
    </row>
    <row r="11" spans="1:70" ht="15" customHeight="1">
      <c r="A11" s="34">
        <v>3</v>
      </c>
      <c r="B11" s="37" t="s">
        <v>46</v>
      </c>
      <c r="C11" s="36"/>
      <c r="D11" s="11" t="s">
        <v>20</v>
      </c>
      <c r="E11" s="12">
        <f>$E$1+14</f>
        <v>46226</v>
      </c>
      <c r="F11" s="12">
        <f>$E$1+20</f>
        <v>46232</v>
      </c>
      <c r="G11" s="13">
        <f>IF(AND(E11&lt;&gt;"",F11&lt;&gt;""),F11-E11+1,"")</f>
        <v>7</v>
      </c>
      <c r="H11" s="14" t="s">
        <v>21</v>
      </c>
      <c r="I11" s="14" t="s">
        <v>21</v>
      </c>
      <c r="J11" s="36" t="s">
        <v>22</v>
      </c>
      <c r="K11" s="15" t="str">
        <f t="shared" ref="K11:AP11" si="4">IF($J$11="マイルストーン",IF(K$6=$E11,"◆",""),"")</f>
        <v/>
      </c>
      <c r="L11" s="15" t="str">
        <f t="shared" si="4"/>
        <v/>
      </c>
      <c r="M11" s="15" t="str">
        <f t="shared" si="4"/>
        <v/>
      </c>
      <c r="N11" s="15" t="str">
        <f t="shared" si="4"/>
        <v/>
      </c>
      <c r="O11" s="15" t="str">
        <f t="shared" si="4"/>
        <v/>
      </c>
      <c r="P11" s="15" t="str">
        <f t="shared" si="4"/>
        <v/>
      </c>
      <c r="Q11" s="15" t="str">
        <f t="shared" si="4"/>
        <v/>
      </c>
      <c r="R11" s="15" t="str">
        <f t="shared" si="4"/>
        <v/>
      </c>
      <c r="S11" s="15" t="str">
        <f t="shared" si="4"/>
        <v/>
      </c>
      <c r="T11" s="15" t="str">
        <f t="shared" si="4"/>
        <v/>
      </c>
      <c r="U11" s="15" t="str">
        <f t="shared" si="4"/>
        <v/>
      </c>
      <c r="V11" s="15" t="str">
        <f t="shared" si="4"/>
        <v/>
      </c>
      <c r="W11" s="15" t="str">
        <f t="shared" si="4"/>
        <v/>
      </c>
      <c r="X11" s="15" t="str">
        <f t="shared" si="4"/>
        <v/>
      </c>
      <c r="Y11" s="15" t="str">
        <f t="shared" si="4"/>
        <v/>
      </c>
      <c r="Z11" s="15" t="str">
        <f t="shared" si="4"/>
        <v/>
      </c>
      <c r="AA11" s="15" t="str">
        <f t="shared" si="4"/>
        <v/>
      </c>
      <c r="AB11" s="15" t="str">
        <f t="shared" si="4"/>
        <v/>
      </c>
      <c r="AC11" s="15" t="str">
        <f t="shared" si="4"/>
        <v/>
      </c>
      <c r="AD11" s="15" t="str">
        <f t="shared" si="4"/>
        <v/>
      </c>
      <c r="AE11" s="15" t="str">
        <f t="shared" si="4"/>
        <v/>
      </c>
      <c r="AF11" s="15" t="str">
        <f t="shared" si="4"/>
        <v/>
      </c>
      <c r="AG11" s="15" t="str">
        <f t="shared" si="4"/>
        <v/>
      </c>
      <c r="AH11" s="15" t="str">
        <f t="shared" si="4"/>
        <v/>
      </c>
      <c r="AI11" s="15" t="str">
        <f t="shared" si="4"/>
        <v/>
      </c>
      <c r="AJ11" s="15" t="str">
        <f t="shared" si="4"/>
        <v/>
      </c>
      <c r="AK11" s="15" t="str">
        <f t="shared" si="4"/>
        <v/>
      </c>
      <c r="AL11" s="15" t="str">
        <f t="shared" si="4"/>
        <v/>
      </c>
      <c r="AM11" s="15" t="str">
        <f t="shared" si="4"/>
        <v/>
      </c>
      <c r="AN11" s="15" t="str">
        <f t="shared" si="4"/>
        <v/>
      </c>
      <c r="AO11" s="15" t="str">
        <f t="shared" si="4"/>
        <v/>
      </c>
      <c r="AP11" s="15" t="str">
        <f t="shared" si="4"/>
        <v/>
      </c>
      <c r="AQ11" s="15" t="str">
        <f t="shared" ref="AQ11:BR11" si="5">IF($J$11="マイルストーン",IF(AQ$6=$E11,"◆",""),"")</f>
        <v/>
      </c>
      <c r="AR11" s="15" t="str">
        <f t="shared" si="5"/>
        <v/>
      </c>
      <c r="AS11" s="15" t="str">
        <f t="shared" si="5"/>
        <v/>
      </c>
      <c r="AT11" s="15" t="str">
        <f t="shared" si="5"/>
        <v/>
      </c>
      <c r="AU11" s="15" t="str">
        <f t="shared" si="5"/>
        <v/>
      </c>
      <c r="AV11" s="15" t="str">
        <f t="shared" si="5"/>
        <v/>
      </c>
      <c r="AW11" s="15" t="str">
        <f t="shared" si="5"/>
        <v/>
      </c>
      <c r="AX11" s="15" t="str">
        <f t="shared" si="5"/>
        <v/>
      </c>
      <c r="AY11" s="15" t="str">
        <f t="shared" si="5"/>
        <v/>
      </c>
      <c r="AZ11" s="15" t="str">
        <f t="shared" si="5"/>
        <v/>
      </c>
      <c r="BA11" s="15" t="str">
        <f t="shared" si="5"/>
        <v/>
      </c>
      <c r="BB11" s="15" t="str">
        <f t="shared" si="5"/>
        <v/>
      </c>
      <c r="BC11" s="15" t="str">
        <f t="shared" si="5"/>
        <v/>
      </c>
      <c r="BD11" s="15" t="str">
        <f t="shared" si="5"/>
        <v/>
      </c>
      <c r="BE11" s="15" t="str">
        <f t="shared" si="5"/>
        <v/>
      </c>
      <c r="BF11" s="15" t="str">
        <f t="shared" si="5"/>
        <v/>
      </c>
      <c r="BG11" s="15" t="str">
        <f t="shared" si="5"/>
        <v/>
      </c>
      <c r="BH11" s="15" t="str">
        <f t="shared" si="5"/>
        <v/>
      </c>
      <c r="BI11" s="15" t="str">
        <f t="shared" si="5"/>
        <v/>
      </c>
      <c r="BJ11" s="15" t="str">
        <f t="shared" si="5"/>
        <v/>
      </c>
      <c r="BK11" s="15" t="str">
        <f t="shared" si="5"/>
        <v/>
      </c>
      <c r="BL11" s="15" t="str">
        <f t="shared" si="5"/>
        <v/>
      </c>
      <c r="BM11" s="15" t="str">
        <f t="shared" si="5"/>
        <v/>
      </c>
      <c r="BN11" s="15" t="str">
        <f t="shared" si="5"/>
        <v/>
      </c>
      <c r="BO11" s="15" t="str">
        <f t="shared" si="5"/>
        <v/>
      </c>
      <c r="BP11" s="15" t="str">
        <f t="shared" si="5"/>
        <v/>
      </c>
      <c r="BQ11" s="15" t="str">
        <f t="shared" si="5"/>
        <v/>
      </c>
      <c r="BR11" s="15" t="str">
        <f t="shared" si="5"/>
        <v/>
      </c>
    </row>
    <row r="12" spans="1:70" ht="15.75">
      <c r="A12" s="34"/>
      <c r="B12" s="34"/>
      <c r="C12" s="34"/>
      <c r="D12" s="11" t="s">
        <v>23</v>
      </c>
      <c r="E12" s="12"/>
      <c r="F12" s="12"/>
      <c r="G12" s="13" t="str">
        <f>IF(F12&lt;&gt;"",F12-E12+1,IF(E12&lt;&gt;"",$E$3-E12+1,""))</f>
        <v/>
      </c>
      <c r="H12" s="16">
        <v>1</v>
      </c>
      <c r="I12" s="17" t="str">
        <f ca="1">IF(E12="",IF($E$3&gt;F11,"未着手（遅延）","未着手"),IF(F12&lt;&gt;"","完了",IF($E$3&gt;F11,"進行中（遅延）","進行中")))</f>
        <v>未着手</v>
      </c>
      <c r="J12" s="36"/>
      <c r="K12" s="15" t="str">
        <f>IF($J$11="マイルストーン",IF(AND(E12&lt;&gt;"",K$6=E12),"◆",""),"")</f>
        <v/>
      </c>
      <c r="L12" s="15" t="str">
        <f>IF($J$11="マイルストーン",IF(AND(E12&lt;&gt;"",L$6=E12),"◆",""),"")</f>
        <v/>
      </c>
      <c r="M12" s="15" t="str">
        <f>IF($J$11="マイルストーン",IF(AND(E12&lt;&gt;"",M$6=E12),"◆",""),"")</f>
        <v/>
      </c>
      <c r="N12" s="15" t="str">
        <f>IF($J$11="マイルストーン",IF(AND(E12&lt;&gt;"",N$6=E12),"◆",""),"")</f>
        <v/>
      </c>
      <c r="O12" s="15" t="str">
        <f>IF($J$11="マイルストーン",IF(AND(E12&lt;&gt;"",O$6=E12),"◆",""),"")</f>
        <v/>
      </c>
      <c r="P12" s="15" t="str">
        <f>IF($J$11="マイルストーン",IF(AND(E12&lt;&gt;"",P$6=E12),"◆",""),"")</f>
        <v/>
      </c>
      <c r="Q12" s="15" t="str">
        <f>IF($J$11="マイルストーン",IF(AND(E12&lt;&gt;"",Q$6=E12),"◆",""),"")</f>
        <v/>
      </c>
      <c r="R12" s="15" t="str">
        <f>IF($J$11="マイルストーン",IF(AND(E12&lt;&gt;"",R$6=E12),"◆",""),"")</f>
        <v/>
      </c>
      <c r="S12" s="15" t="str">
        <f>IF($J$11="マイルストーン",IF(AND(E12&lt;&gt;"",S$6=E12),"◆",""),"")</f>
        <v/>
      </c>
      <c r="T12" s="15" t="str">
        <f>IF($J$11="マイルストーン",IF(AND(E12&lt;&gt;"",T$6=E12),"◆",""),"")</f>
        <v/>
      </c>
      <c r="U12" s="15" t="str">
        <f>IF($J$11="マイルストーン",IF(AND(E12&lt;&gt;"",U$6=E12),"◆",""),"")</f>
        <v/>
      </c>
      <c r="V12" s="15" t="str">
        <f>IF($J$11="マイルストーン",IF(AND(E12&lt;&gt;"",V$6=E12),"◆",""),"")</f>
        <v/>
      </c>
      <c r="W12" s="15" t="str">
        <f>IF($J$11="マイルストーン",IF(AND(E12&lt;&gt;"",W$6=E12),"◆",""),"")</f>
        <v/>
      </c>
      <c r="X12" s="15" t="str">
        <f>IF($J$11="マイルストーン",IF(AND(E12&lt;&gt;"",X$6=E12),"◆",""),"")</f>
        <v/>
      </c>
      <c r="Y12" s="15" t="str">
        <f>IF($J$11="マイルストーン",IF(AND(E12&lt;&gt;"",Y$6=E12),"◆",""),"")</f>
        <v/>
      </c>
      <c r="Z12" s="15" t="str">
        <f>IF($J$11="マイルストーン",IF(AND(E12&lt;&gt;"",Z$6=E12),"◆",""),"")</f>
        <v/>
      </c>
      <c r="AA12" s="15" t="str">
        <f>IF($J$11="マイルストーン",IF(AND(E12&lt;&gt;"",AA$6=E12),"◆",""),"")</f>
        <v/>
      </c>
      <c r="AB12" s="15" t="str">
        <f>IF($J$11="マイルストーン",IF(AND(E12&lt;&gt;"",AB$6=E12),"◆",""),"")</f>
        <v/>
      </c>
      <c r="AC12" s="15" t="str">
        <f>IF($J$11="マイルストーン",IF(AND(E12&lt;&gt;"",AC$6=E12),"◆",""),"")</f>
        <v/>
      </c>
      <c r="AD12" s="15" t="str">
        <f>IF($J$11="マイルストーン",IF(AND(E12&lt;&gt;"",AD$6=E12),"◆",""),"")</f>
        <v/>
      </c>
      <c r="AE12" s="15" t="str">
        <f>IF($J$11="マイルストーン",IF(AND(E12&lt;&gt;"",AE$6=E12),"◆",""),"")</f>
        <v/>
      </c>
      <c r="AF12" s="15" t="str">
        <f>IF($J$11="マイルストーン",IF(AND(E12&lt;&gt;"",AF$6=E12),"◆",""),"")</f>
        <v/>
      </c>
      <c r="AG12" s="15" t="str">
        <f>IF($J$11="マイルストーン",IF(AND(E12&lt;&gt;"",AG$6=E12),"◆",""),"")</f>
        <v/>
      </c>
      <c r="AH12" s="15" t="str">
        <f>IF($J$11="マイルストーン",IF(AND(E12&lt;&gt;"",AH$6=E12),"◆",""),"")</f>
        <v/>
      </c>
      <c r="AI12" s="15" t="str">
        <f>IF($J$11="マイルストーン",IF(AND(E12&lt;&gt;"",AI$6=E12),"◆",""),"")</f>
        <v/>
      </c>
      <c r="AJ12" s="15" t="str">
        <f>IF($J$11="マイルストーン",IF(AND(E12&lt;&gt;"",AJ$6=E12),"◆",""),"")</f>
        <v/>
      </c>
      <c r="AK12" s="15" t="str">
        <f>IF($J$11="マイルストーン",IF(AND(E12&lt;&gt;"",AK$6=E12),"◆",""),"")</f>
        <v/>
      </c>
      <c r="AL12" s="15" t="str">
        <f>IF($J$11="マイルストーン",IF(AND(E12&lt;&gt;"",AL$6=E12),"◆",""),"")</f>
        <v/>
      </c>
      <c r="AM12" s="15" t="str">
        <f>IF($J$11="マイルストーン",IF(AND(E12&lt;&gt;"",AM$6=E12),"◆",""),"")</f>
        <v/>
      </c>
      <c r="AN12" s="15" t="str">
        <f>IF($J$11="マイルストーン",IF(AND(E12&lt;&gt;"",AN$6=E12),"◆",""),"")</f>
        <v/>
      </c>
      <c r="AO12" s="15" t="str">
        <f>IF($J$11="マイルストーン",IF(AND(E12&lt;&gt;"",AO$6=E12),"◆",""),"")</f>
        <v/>
      </c>
      <c r="AP12" s="15" t="str">
        <f>IF($J$11="マイルストーン",IF(AND(E12&lt;&gt;"",AP$6=E12),"◆",""),"")</f>
        <v/>
      </c>
      <c r="AQ12" s="15" t="str">
        <f>IF($J$11="マイルストーン",IF(AND(E12&lt;&gt;"",AQ$6=E12),"◆",""),"")</f>
        <v/>
      </c>
      <c r="AR12" s="15" t="str">
        <f>IF($J$11="マイルストーン",IF(AND(E12&lt;&gt;"",AR$6=E12),"◆",""),"")</f>
        <v/>
      </c>
      <c r="AS12" s="15" t="str">
        <f>IF($J$11="マイルストーン",IF(AND(E12&lt;&gt;"",AS$6=E12),"◆",""),"")</f>
        <v/>
      </c>
      <c r="AT12" s="15" t="str">
        <f>IF($J$11="マイルストーン",IF(AND(E12&lt;&gt;"",AT$6=E12),"◆",""),"")</f>
        <v/>
      </c>
      <c r="AU12" s="15" t="str">
        <f>IF($J$11="マイルストーン",IF(AND(E12&lt;&gt;"",AU$6=E12),"◆",""),"")</f>
        <v/>
      </c>
      <c r="AV12" s="15" t="str">
        <f>IF($J$11="マイルストーン",IF(AND(E12&lt;&gt;"",AV$6=E12),"◆",""),"")</f>
        <v/>
      </c>
      <c r="AW12" s="15" t="str">
        <f>IF($J$11="マイルストーン",IF(AND(E12&lt;&gt;"",AW$6=E12),"◆",""),"")</f>
        <v/>
      </c>
      <c r="AX12" s="15" t="str">
        <f>IF($J$11="マイルストーン",IF(AND(E12&lt;&gt;"",AX$6=E12),"◆",""),"")</f>
        <v/>
      </c>
      <c r="AY12" s="15" t="str">
        <f>IF($J$11="マイルストーン",IF(AND(E12&lt;&gt;"",AY$6=E12),"◆",""),"")</f>
        <v/>
      </c>
      <c r="AZ12" s="15" t="str">
        <f>IF($J$11="マイルストーン",IF(AND(E12&lt;&gt;"",AZ$6=E12),"◆",""),"")</f>
        <v/>
      </c>
      <c r="BA12" s="15" t="str">
        <f>IF($J$11="マイルストーン",IF(AND(E12&lt;&gt;"",BA$6=E12),"◆",""),"")</f>
        <v/>
      </c>
      <c r="BB12" s="15" t="str">
        <f>IF($J$11="マイルストーン",IF(AND(E12&lt;&gt;"",BB$6=E12),"◆",""),"")</f>
        <v/>
      </c>
      <c r="BC12" s="15" t="str">
        <f>IF($J$11="マイルストーン",IF(AND(E12&lt;&gt;"",BC$6=E12),"◆",""),"")</f>
        <v/>
      </c>
      <c r="BD12" s="15" t="str">
        <f>IF($J$11="マイルストーン",IF(AND(E12&lt;&gt;"",BD$6=E12),"◆",""),"")</f>
        <v/>
      </c>
      <c r="BE12" s="15" t="str">
        <f>IF($J$11="マイルストーン",IF(AND(E12&lt;&gt;"",BE$6=E12),"◆",""),"")</f>
        <v/>
      </c>
      <c r="BF12" s="15" t="str">
        <f>IF($J$11="マイルストーン",IF(AND(E12&lt;&gt;"",BF$6=E12),"◆",""),"")</f>
        <v/>
      </c>
      <c r="BG12" s="15" t="str">
        <f>IF($J$11="マイルストーン",IF(AND(E12&lt;&gt;"",BG$6=E12),"◆",""),"")</f>
        <v/>
      </c>
      <c r="BH12" s="15" t="str">
        <f>IF($J$11="マイルストーン",IF(AND(E12&lt;&gt;"",BH$6=E12),"◆",""),"")</f>
        <v/>
      </c>
      <c r="BI12" s="15" t="str">
        <f>IF($J$11="マイルストーン",IF(AND(E12&lt;&gt;"",BI$6=E12),"◆",""),"")</f>
        <v/>
      </c>
      <c r="BJ12" s="15" t="str">
        <f>IF($J$11="マイルストーン",IF(AND(E12&lt;&gt;"",BJ$6=E12),"◆",""),"")</f>
        <v/>
      </c>
      <c r="BK12" s="15" t="str">
        <f>IF($J$11="マイルストーン",IF(AND(E12&lt;&gt;"",BK$6=E12),"◆",""),"")</f>
        <v/>
      </c>
      <c r="BL12" s="15" t="str">
        <f>IF($J$11="マイルストーン",IF(AND(E12&lt;&gt;"",BL$6=E12),"◆",""),"")</f>
        <v/>
      </c>
      <c r="BM12" s="15" t="str">
        <f>IF($J$11="マイルストーン",IF(AND(E12&lt;&gt;"",BM$6=E12),"◆",""),"")</f>
        <v/>
      </c>
      <c r="BN12" s="15" t="str">
        <f>IF($J$11="マイルストーン",IF(AND(E12&lt;&gt;"",BN$6=E12),"◆",""),"")</f>
        <v/>
      </c>
      <c r="BO12" s="15" t="str">
        <f>IF($J$11="マイルストーン",IF(AND(E12&lt;&gt;"",BO$6=E12),"◆",""),"")</f>
        <v/>
      </c>
      <c r="BP12" s="15" t="str">
        <f>IF($J$11="マイルストーン",IF(AND(E12&lt;&gt;"",BP$6=E12),"◆",""),"")</f>
        <v/>
      </c>
      <c r="BQ12" s="15" t="str">
        <f>IF($J$11="マイルストーン",IF(AND(E12&lt;&gt;"",BQ$6=E12),"◆",""),"")</f>
        <v/>
      </c>
      <c r="BR12" s="15" t="str">
        <f>IF($J$11="マイルストーン",IF(AND(E12&lt;&gt;"",BR$6=E12),"◆",""),"")</f>
        <v/>
      </c>
    </row>
    <row r="13" spans="1:70" ht="15" customHeight="1">
      <c r="A13" s="30">
        <v>4</v>
      </c>
      <c r="B13" s="33" t="s">
        <v>47</v>
      </c>
      <c r="C13" s="32"/>
      <c r="D13" s="18" t="s">
        <v>20</v>
      </c>
      <c r="E13" s="19">
        <f>$E$1+21</f>
        <v>46233</v>
      </c>
      <c r="F13" s="19">
        <f>$E$1+34</f>
        <v>46246</v>
      </c>
      <c r="G13" s="20">
        <f>IF(AND(E13&lt;&gt;"",F13&lt;&gt;""),F13-E13+1,"")</f>
        <v>14</v>
      </c>
      <c r="H13" s="21" t="s">
        <v>21</v>
      </c>
      <c r="I13" s="21" t="s">
        <v>21</v>
      </c>
      <c r="J13" s="32" t="s">
        <v>22</v>
      </c>
      <c r="K13" s="22" t="str">
        <f t="shared" ref="K13:AP13" si="6">IF($J$13="マイルストーン",IF(K$6=$E13,"◆",""),"")</f>
        <v/>
      </c>
      <c r="L13" s="22" t="str">
        <f t="shared" si="6"/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si="6"/>
        <v/>
      </c>
      <c r="AC13" s="22" t="str">
        <f t="shared" si="6"/>
        <v/>
      </c>
      <c r="AD13" s="22" t="str">
        <f t="shared" si="6"/>
        <v/>
      </c>
      <c r="AE13" s="22" t="str">
        <f t="shared" si="6"/>
        <v/>
      </c>
      <c r="AF13" s="22" t="str">
        <f t="shared" si="6"/>
        <v/>
      </c>
      <c r="AG13" s="22" t="str">
        <f t="shared" si="6"/>
        <v/>
      </c>
      <c r="AH13" s="22" t="str">
        <f t="shared" si="6"/>
        <v/>
      </c>
      <c r="AI13" s="22" t="str">
        <f t="shared" si="6"/>
        <v/>
      </c>
      <c r="AJ13" s="22" t="str">
        <f t="shared" si="6"/>
        <v/>
      </c>
      <c r="AK13" s="22" t="str">
        <f t="shared" si="6"/>
        <v/>
      </c>
      <c r="AL13" s="22" t="str">
        <f t="shared" si="6"/>
        <v/>
      </c>
      <c r="AM13" s="22" t="str">
        <f t="shared" si="6"/>
        <v/>
      </c>
      <c r="AN13" s="22" t="str">
        <f t="shared" si="6"/>
        <v/>
      </c>
      <c r="AO13" s="22" t="str">
        <f t="shared" si="6"/>
        <v/>
      </c>
      <c r="AP13" s="22" t="str">
        <f t="shared" si="6"/>
        <v/>
      </c>
      <c r="AQ13" s="22" t="str">
        <f t="shared" ref="AQ13:BR13" si="7">IF($J$13="マイルストーン",IF(AQ$6=$E13,"◆",""),"")</f>
        <v/>
      </c>
      <c r="AR13" s="22" t="str">
        <f t="shared" si="7"/>
        <v/>
      </c>
      <c r="AS13" s="22" t="str">
        <f t="shared" si="7"/>
        <v/>
      </c>
      <c r="AT13" s="22" t="str">
        <f t="shared" si="7"/>
        <v/>
      </c>
      <c r="AU13" s="22" t="str">
        <f t="shared" si="7"/>
        <v/>
      </c>
      <c r="AV13" s="22" t="str">
        <f t="shared" si="7"/>
        <v/>
      </c>
      <c r="AW13" s="22" t="str">
        <f t="shared" si="7"/>
        <v/>
      </c>
      <c r="AX13" s="22" t="str">
        <f t="shared" si="7"/>
        <v/>
      </c>
      <c r="AY13" s="22" t="str">
        <f t="shared" si="7"/>
        <v/>
      </c>
      <c r="AZ13" s="22" t="str">
        <f t="shared" si="7"/>
        <v/>
      </c>
      <c r="BA13" s="22" t="str">
        <f t="shared" si="7"/>
        <v/>
      </c>
      <c r="BB13" s="22" t="str">
        <f t="shared" si="7"/>
        <v/>
      </c>
      <c r="BC13" s="22" t="str">
        <f t="shared" si="7"/>
        <v/>
      </c>
      <c r="BD13" s="22" t="str">
        <f t="shared" si="7"/>
        <v/>
      </c>
      <c r="BE13" s="22" t="str">
        <f t="shared" si="7"/>
        <v/>
      </c>
      <c r="BF13" s="22" t="str">
        <f t="shared" si="7"/>
        <v/>
      </c>
      <c r="BG13" s="22" t="str">
        <f t="shared" si="7"/>
        <v/>
      </c>
      <c r="BH13" s="22" t="str">
        <f t="shared" si="7"/>
        <v/>
      </c>
      <c r="BI13" s="22" t="str">
        <f t="shared" si="7"/>
        <v/>
      </c>
      <c r="BJ13" s="22" t="str">
        <f t="shared" si="7"/>
        <v/>
      </c>
      <c r="BK13" s="22" t="str">
        <f t="shared" si="7"/>
        <v/>
      </c>
      <c r="BL13" s="22" t="str">
        <f t="shared" si="7"/>
        <v/>
      </c>
      <c r="BM13" s="22" t="str">
        <f t="shared" si="7"/>
        <v/>
      </c>
      <c r="BN13" s="22" t="str">
        <f t="shared" si="7"/>
        <v/>
      </c>
      <c r="BO13" s="22" t="str">
        <f t="shared" si="7"/>
        <v/>
      </c>
      <c r="BP13" s="22" t="str">
        <f t="shared" si="7"/>
        <v/>
      </c>
      <c r="BQ13" s="22" t="str">
        <f t="shared" si="7"/>
        <v/>
      </c>
      <c r="BR13" s="22" t="str">
        <f t="shared" si="7"/>
        <v/>
      </c>
    </row>
    <row r="14" spans="1:70" ht="15.75">
      <c r="A14" s="30"/>
      <c r="B14" s="30"/>
      <c r="C14" s="30"/>
      <c r="D14" s="18" t="s">
        <v>23</v>
      </c>
      <c r="E14" s="19"/>
      <c r="F14" s="19"/>
      <c r="G14" s="20" t="str">
        <f>IF(F14&lt;&gt;"",F14-E14+1,IF(E14&lt;&gt;"",$E$3-E14+1,""))</f>
        <v/>
      </c>
      <c r="H14" s="23">
        <v>0.6</v>
      </c>
      <c r="I14" s="24" t="str">
        <f ca="1">IF(E14="",IF($E$3&gt;F13,"未着手（遅延）","未着手"),IF(F14&lt;&gt;"","完了",IF($E$3&gt;F13,"進行中（遅延）","進行中")))</f>
        <v>未着手</v>
      </c>
      <c r="J14" s="32"/>
      <c r="K14" s="22" t="str">
        <f>IF($J$13="マイルストーン",IF(AND(E14&lt;&gt;"",K$6=E14),"◆",""),"")</f>
        <v/>
      </c>
      <c r="L14" s="22" t="str">
        <f>IF($J$13="マイルストーン",IF(AND(E14&lt;&gt;"",L$6=E14),"◆",""),"")</f>
        <v/>
      </c>
      <c r="M14" s="22" t="str">
        <f>IF($J$13="マイルストーン",IF(AND(E14&lt;&gt;"",M$6=E14),"◆",""),"")</f>
        <v/>
      </c>
      <c r="N14" s="22" t="str">
        <f>IF($J$13="マイルストーン",IF(AND(E14&lt;&gt;"",N$6=E14),"◆",""),"")</f>
        <v/>
      </c>
      <c r="O14" s="22" t="str">
        <f>IF($J$13="マイルストーン",IF(AND(E14&lt;&gt;"",O$6=E14),"◆",""),"")</f>
        <v/>
      </c>
      <c r="P14" s="22" t="str">
        <f>IF($J$13="マイルストーン",IF(AND(E14&lt;&gt;"",P$6=E14),"◆",""),"")</f>
        <v/>
      </c>
      <c r="Q14" s="22" t="str">
        <f>IF($J$13="マイルストーン",IF(AND(E14&lt;&gt;"",Q$6=E14),"◆",""),"")</f>
        <v/>
      </c>
      <c r="R14" s="22" t="str">
        <f>IF($J$13="マイルストーン",IF(AND(E14&lt;&gt;"",R$6=E14),"◆",""),"")</f>
        <v/>
      </c>
      <c r="S14" s="22" t="str">
        <f>IF($J$13="マイルストーン",IF(AND(E14&lt;&gt;"",S$6=E14),"◆",""),"")</f>
        <v/>
      </c>
      <c r="T14" s="22" t="str">
        <f>IF($J$13="マイルストーン",IF(AND(E14&lt;&gt;"",T$6=E14),"◆",""),"")</f>
        <v/>
      </c>
      <c r="U14" s="22" t="str">
        <f>IF($J$13="マイルストーン",IF(AND(E14&lt;&gt;"",U$6=E14),"◆",""),"")</f>
        <v/>
      </c>
      <c r="V14" s="22" t="str">
        <f>IF($J$13="マイルストーン",IF(AND(E14&lt;&gt;"",V$6=E14),"◆",""),"")</f>
        <v/>
      </c>
      <c r="W14" s="22" t="str">
        <f>IF($J$13="マイルストーン",IF(AND(E14&lt;&gt;"",W$6=E14),"◆",""),"")</f>
        <v/>
      </c>
      <c r="X14" s="22" t="str">
        <f>IF($J$13="マイルストーン",IF(AND(E14&lt;&gt;"",X$6=E14),"◆",""),"")</f>
        <v/>
      </c>
      <c r="Y14" s="22" t="str">
        <f>IF($J$13="マイルストーン",IF(AND(E14&lt;&gt;"",Y$6=E14),"◆",""),"")</f>
        <v/>
      </c>
      <c r="Z14" s="22" t="str">
        <f>IF($J$13="マイルストーン",IF(AND(E14&lt;&gt;"",Z$6=E14),"◆",""),"")</f>
        <v/>
      </c>
      <c r="AA14" s="22" t="str">
        <f>IF($J$13="マイルストーン",IF(AND(E14&lt;&gt;"",AA$6=E14),"◆",""),"")</f>
        <v/>
      </c>
      <c r="AB14" s="22" t="str">
        <f>IF($J$13="マイルストーン",IF(AND(E14&lt;&gt;"",AB$6=E14),"◆",""),"")</f>
        <v/>
      </c>
      <c r="AC14" s="22" t="str">
        <f>IF($J$13="マイルストーン",IF(AND(E14&lt;&gt;"",AC$6=E14),"◆",""),"")</f>
        <v/>
      </c>
      <c r="AD14" s="22" t="str">
        <f>IF($J$13="マイルストーン",IF(AND(E14&lt;&gt;"",AD$6=E14),"◆",""),"")</f>
        <v/>
      </c>
      <c r="AE14" s="22" t="str">
        <f>IF($J$13="マイルストーン",IF(AND(E14&lt;&gt;"",AE$6=E14),"◆",""),"")</f>
        <v/>
      </c>
      <c r="AF14" s="22" t="str">
        <f>IF($J$13="マイルストーン",IF(AND(E14&lt;&gt;"",AF$6=E14),"◆",""),"")</f>
        <v/>
      </c>
      <c r="AG14" s="22" t="str">
        <f>IF($J$13="マイルストーン",IF(AND(E14&lt;&gt;"",AG$6=E14),"◆",""),"")</f>
        <v/>
      </c>
      <c r="AH14" s="22" t="str">
        <f>IF($J$13="マイルストーン",IF(AND(E14&lt;&gt;"",AH$6=E14),"◆",""),"")</f>
        <v/>
      </c>
      <c r="AI14" s="22" t="str">
        <f>IF($J$13="マイルストーン",IF(AND(E14&lt;&gt;"",AI$6=E14),"◆",""),"")</f>
        <v/>
      </c>
      <c r="AJ14" s="22" t="str">
        <f>IF($J$13="マイルストーン",IF(AND(E14&lt;&gt;"",AJ$6=E14),"◆",""),"")</f>
        <v/>
      </c>
      <c r="AK14" s="22" t="str">
        <f>IF($J$13="マイルストーン",IF(AND(E14&lt;&gt;"",AK$6=E14),"◆",""),"")</f>
        <v/>
      </c>
      <c r="AL14" s="22" t="str">
        <f>IF($J$13="マイルストーン",IF(AND(E14&lt;&gt;"",AL$6=E14),"◆",""),"")</f>
        <v/>
      </c>
      <c r="AM14" s="22" t="str">
        <f>IF($J$13="マイルストーン",IF(AND(E14&lt;&gt;"",AM$6=E14),"◆",""),"")</f>
        <v/>
      </c>
      <c r="AN14" s="22" t="str">
        <f>IF($J$13="マイルストーン",IF(AND(E14&lt;&gt;"",AN$6=E14),"◆",""),"")</f>
        <v/>
      </c>
      <c r="AO14" s="22" t="str">
        <f>IF($J$13="マイルストーン",IF(AND(E14&lt;&gt;"",AO$6=E14),"◆",""),"")</f>
        <v/>
      </c>
      <c r="AP14" s="22" t="str">
        <f>IF($J$13="マイルストーン",IF(AND(E14&lt;&gt;"",AP$6=E14),"◆",""),"")</f>
        <v/>
      </c>
      <c r="AQ14" s="22" t="str">
        <f>IF($J$13="マイルストーン",IF(AND(E14&lt;&gt;"",AQ$6=E14),"◆",""),"")</f>
        <v/>
      </c>
      <c r="AR14" s="22" t="str">
        <f>IF($J$13="マイルストーン",IF(AND(E14&lt;&gt;"",AR$6=E14),"◆",""),"")</f>
        <v/>
      </c>
      <c r="AS14" s="22" t="str">
        <f>IF($J$13="マイルストーン",IF(AND(E14&lt;&gt;"",AS$6=E14),"◆",""),"")</f>
        <v/>
      </c>
      <c r="AT14" s="22" t="str">
        <f>IF($J$13="マイルストーン",IF(AND(E14&lt;&gt;"",AT$6=E14),"◆",""),"")</f>
        <v/>
      </c>
      <c r="AU14" s="22" t="str">
        <f>IF($J$13="マイルストーン",IF(AND(E14&lt;&gt;"",AU$6=E14),"◆",""),"")</f>
        <v/>
      </c>
      <c r="AV14" s="22" t="str">
        <f>IF($J$13="マイルストーン",IF(AND(E14&lt;&gt;"",AV$6=E14),"◆",""),"")</f>
        <v/>
      </c>
      <c r="AW14" s="22" t="str">
        <f>IF($J$13="マイルストーン",IF(AND(E14&lt;&gt;"",AW$6=E14),"◆",""),"")</f>
        <v/>
      </c>
      <c r="AX14" s="22" t="str">
        <f>IF($J$13="マイルストーン",IF(AND(E14&lt;&gt;"",AX$6=E14),"◆",""),"")</f>
        <v/>
      </c>
      <c r="AY14" s="22" t="str">
        <f>IF($J$13="マイルストーン",IF(AND(E14&lt;&gt;"",AY$6=E14),"◆",""),"")</f>
        <v/>
      </c>
      <c r="AZ14" s="22" t="str">
        <f>IF($J$13="マイルストーン",IF(AND(E14&lt;&gt;"",AZ$6=E14),"◆",""),"")</f>
        <v/>
      </c>
      <c r="BA14" s="22" t="str">
        <f>IF($J$13="マイルストーン",IF(AND(E14&lt;&gt;"",BA$6=E14),"◆",""),"")</f>
        <v/>
      </c>
      <c r="BB14" s="22" t="str">
        <f>IF($J$13="マイルストーン",IF(AND(E14&lt;&gt;"",BB$6=E14),"◆",""),"")</f>
        <v/>
      </c>
      <c r="BC14" s="22" t="str">
        <f>IF($J$13="マイルストーン",IF(AND(E14&lt;&gt;"",BC$6=E14),"◆",""),"")</f>
        <v/>
      </c>
      <c r="BD14" s="22" t="str">
        <f>IF($J$13="マイルストーン",IF(AND(E14&lt;&gt;"",BD$6=E14),"◆",""),"")</f>
        <v/>
      </c>
      <c r="BE14" s="22" t="str">
        <f>IF($J$13="マイルストーン",IF(AND(E14&lt;&gt;"",BE$6=E14),"◆",""),"")</f>
        <v/>
      </c>
      <c r="BF14" s="22" t="str">
        <f>IF($J$13="マイルストーン",IF(AND(E14&lt;&gt;"",BF$6=E14),"◆",""),"")</f>
        <v/>
      </c>
      <c r="BG14" s="22" t="str">
        <f>IF($J$13="マイルストーン",IF(AND(E14&lt;&gt;"",BG$6=E14),"◆",""),"")</f>
        <v/>
      </c>
      <c r="BH14" s="22" t="str">
        <f>IF($J$13="マイルストーン",IF(AND(E14&lt;&gt;"",BH$6=E14),"◆",""),"")</f>
        <v/>
      </c>
      <c r="BI14" s="22" t="str">
        <f>IF($J$13="マイルストーン",IF(AND(E14&lt;&gt;"",BI$6=E14),"◆",""),"")</f>
        <v/>
      </c>
      <c r="BJ14" s="22" t="str">
        <f>IF($J$13="マイルストーン",IF(AND(E14&lt;&gt;"",BJ$6=E14),"◆",""),"")</f>
        <v/>
      </c>
      <c r="BK14" s="22" t="str">
        <f>IF($J$13="マイルストーン",IF(AND(E14&lt;&gt;"",BK$6=E14),"◆",""),"")</f>
        <v/>
      </c>
      <c r="BL14" s="22" t="str">
        <f>IF($J$13="マイルストーン",IF(AND(E14&lt;&gt;"",BL$6=E14),"◆",""),"")</f>
        <v/>
      </c>
      <c r="BM14" s="22" t="str">
        <f>IF($J$13="マイルストーン",IF(AND(E14&lt;&gt;"",BM$6=E14),"◆",""),"")</f>
        <v/>
      </c>
      <c r="BN14" s="22" t="str">
        <f>IF($J$13="マイルストーン",IF(AND(E14&lt;&gt;"",BN$6=E14),"◆",""),"")</f>
        <v/>
      </c>
      <c r="BO14" s="22" t="str">
        <f>IF($J$13="マイルストーン",IF(AND(E14&lt;&gt;"",BO$6=E14),"◆",""),"")</f>
        <v/>
      </c>
      <c r="BP14" s="22" t="str">
        <f>IF($J$13="マイルストーン",IF(AND(E14&lt;&gt;"",BP$6=E14),"◆",""),"")</f>
        <v/>
      </c>
      <c r="BQ14" s="22" t="str">
        <f>IF($J$13="マイルストーン",IF(AND(E14&lt;&gt;"",BQ$6=E14),"◆",""),"")</f>
        <v/>
      </c>
      <c r="BR14" s="22" t="str">
        <f>IF($J$13="マイルストーン",IF(AND(E14&lt;&gt;"",BR$6=E14),"◆",""),"")</f>
        <v/>
      </c>
    </row>
    <row r="15" spans="1:70" ht="15" customHeight="1">
      <c r="A15" s="34">
        <v>5</v>
      </c>
      <c r="B15" s="35" t="s">
        <v>48</v>
      </c>
      <c r="C15" s="36"/>
      <c r="D15" s="11" t="s">
        <v>20</v>
      </c>
      <c r="E15" s="12">
        <f>$E$1+34</f>
        <v>46246</v>
      </c>
      <c r="F15" s="12">
        <f>$E$1+41</f>
        <v>46253</v>
      </c>
      <c r="G15" s="13">
        <f>IF(AND(E15&lt;&gt;"",F15&lt;&gt;""),F15-E15+1,"")</f>
        <v>8</v>
      </c>
      <c r="H15" s="14" t="s">
        <v>21</v>
      </c>
      <c r="I15" s="14" t="s">
        <v>21</v>
      </c>
      <c r="J15" s="36" t="s">
        <v>22</v>
      </c>
      <c r="K15" s="15" t="str">
        <f t="shared" ref="K15:AP15" si="8">IF($J$15="マイルストーン",IF(K$6=$E15,"◆",""),"")</f>
        <v/>
      </c>
      <c r="L15" s="15" t="str">
        <f t="shared" si="8"/>
        <v/>
      </c>
      <c r="M15" s="15" t="str">
        <f t="shared" si="8"/>
        <v/>
      </c>
      <c r="N15" s="15" t="str">
        <f t="shared" si="8"/>
        <v/>
      </c>
      <c r="O15" s="15" t="str">
        <f t="shared" si="8"/>
        <v/>
      </c>
      <c r="P15" s="15" t="str">
        <f t="shared" si="8"/>
        <v/>
      </c>
      <c r="Q15" s="15" t="str">
        <f t="shared" si="8"/>
        <v/>
      </c>
      <c r="R15" s="15" t="str">
        <f t="shared" si="8"/>
        <v/>
      </c>
      <c r="S15" s="15" t="str">
        <f t="shared" si="8"/>
        <v/>
      </c>
      <c r="T15" s="15" t="str">
        <f t="shared" si="8"/>
        <v/>
      </c>
      <c r="U15" s="15" t="str">
        <f t="shared" si="8"/>
        <v/>
      </c>
      <c r="V15" s="15" t="str">
        <f t="shared" si="8"/>
        <v/>
      </c>
      <c r="W15" s="15" t="str">
        <f t="shared" si="8"/>
        <v/>
      </c>
      <c r="X15" s="15" t="str">
        <f t="shared" si="8"/>
        <v/>
      </c>
      <c r="Y15" s="15" t="str">
        <f t="shared" si="8"/>
        <v/>
      </c>
      <c r="Z15" s="15" t="str">
        <f t="shared" si="8"/>
        <v/>
      </c>
      <c r="AA15" s="15" t="str">
        <f t="shared" si="8"/>
        <v/>
      </c>
      <c r="AB15" s="15" t="str">
        <f t="shared" si="8"/>
        <v/>
      </c>
      <c r="AC15" s="15" t="str">
        <f t="shared" si="8"/>
        <v/>
      </c>
      <c r="AD15" s="15" t="str">
        <f t="shared" si="8"/>
        <v/>
      </c>
      <c r="AE15" s="15" t="str">
        <f t="shared" si="8"/>
        <v/>
      </c>
      <c r="AF15" s="15" t="str">
        <f t="shared" si="8"/>
        <v/>
      </c>
      <c r="AG15" s="15" t="str">
        <f t="shared" si="8"/>
        <v/>
      </c>
      <c r="AH15" s="15" t="str">
        <f t="shared" si="8"/>
        <v/>
      </c>
      <c r="AI15" s="15" t="str">
        <f t="shared" si="8"/>
        <v/>
      </c>
      <c r="AJ15" s="15" t="str">
        <f t="shared" si="8"/>
        <v/>
      </c>
      <c r="AK15" s="15" t="str">
        <f t="shared" si="8"/>
        <v/>
      </c>
      <c r="AL15" s="15" t="str">
        <f t="shared" si="8"/>
        <v/>
      </c>
      <c r="AM15" s="15" t="str">
        <f t="shared" si="8"/>
        <v/>
      </c>
      <c r="AN15" s="15" t="str">
        <f t="shared" si="8"/>
        <v/>
      </c>
      <c r="AO15" s="15" t="str">
        <f t="shared" si="8"/>
        <v/>
      </c>
      <c r="AP15" s="15" t="str">
        <f t="shared" si="8"/>
        <v/>
      </c>
      <c r="AQ15" s="15" t="str">
        <f t="shared" ref="AQ15:BR15" si="9">IF($J$15="マイルストーン",IF(AQ$6=$E15,"◆",""),"")</f>
        <v/>
      </c>
      <c r="AR15" s="15" t="str">
        <f t="shared" si="9"/>
        <v/>
      </c>
      <c r="AS15" s="15" t="str">
        <f t="shared" si="9"/>
        <v/>
      </c>
      <c r="AT15" s="15" t="str">
        <f t="shared" si="9"/>
        <v/>
      </c>
      <c r="AU15" s="15" t="str">
        <f t="shared" si="9"/>
        <v/>
      </c>
      <c r="AV15" s="15" t="str">
        <f t="shared" si="9"/>
        <v/>
      </c>
      <c r="AW15" s="15" t="str">
        <f t="shared" si="9"/>
        <v/>
      </c>
      <c r="AX15" s="15" t="str">
        <f t="shared" si="9"/>
        <v/>
      </c>
      <c r="AY15" s="15" t="str">
        <f t="shared" si="9"/>
        <v/>
      </c>
      <c r="AZ15" s="15" t="str">
        <f t="shared" si="9"/>
        <v/>
      </c>
      <c r="BA15" s="15" t="str">
        <f t="shared" si="9"/>
        <v/>
      </c>
      <c r="BB15" s="15" t="str">
        <f t="shared" si="9"/>
        <v/>
      </c>
      <c r="BC15" s="15" t="str">
        <f t="shared" si="9"/>
        <v/>
      </c>
      <c r="BD15" s="15" t="str">
        <f t="shared" si="9"/>
        <v/>
      </c>
      <c r="BE15" s="15" t="str">
        <f t="shared" si="9"/>
        <v/>
      </c>
      <c r="BF15" s="15" t="str">
        <f t="shared" si="9"/>
        <v/>
      </c>
      <c r="BG15" s="15" t="str">
        <f t="shared" si="9"/>
        <v/>
      </c>
      <c r="BH15" s="15" t="str">
        <f t="shared" si="9"/>
        <v/>
      </c>
      <c r="BI15" s="15" t="str">
        <f t="shared" si="9"/>
        <v/>
      </c>
      <c r="BJ15" s="15" t="str">
        <f t="shared" si="9"/>
        <v/>
      </c>
      <c r="BK15" s="15" t="str">
        <f t="shared" si="9"/>
        <v/>
      </c>
      <c r="BL15" s="15" t="str">
        <f t="shared" si="9"/>
        <v/>
      </c>
      <c r="BM15" s="15" t="str">
        <f t="shared" si="9"/>
        <v/>
      </c>
      <c r="BN15" s="15" t="str">
        <f t="shared" si="9"/>
        <v/>
      </c>
      <c r="BO15" s="15" t="str">
        <f t="shared" si="9"/>
        <v/>
      </c>
      <c r="BP15" s="15" t="str">
        <f t="shared" si="9"/>
        <v/>
      </c>
      <c r="BQ15" s="15" t="str">
        <f t="shared" si="9"/>
        <v/>
      </c>
      <c r="BR15" s="15" t="str">
        <f t="shared" si="9"/>
        <v/>
      </c>
    </row>
    <row r="16" spans="1:70" ht="15.75">
      <c r="A16" s="34"/>
      <c r="B16" s="34"/>
      <c r="C16" s="34"/>
      <c r="D16" s="11" t="s">
        <v>23</v>
      </c>
      <c r="E16" s="12"/>
      <c r="F16" s="12"/>
      <c r="G16" s="13" t="str">
        <f>IF(F16&lt;&gt;"",F16-E16+1,IF(E16&lt;&gt;"",$E$3-E16+1,""))</f>
        <v/>
      </c>
      <c r="H16" s="16">
        <v>0.3</v>
      </c>
      <c r="I16" s="17" t="str">
        <f ca="1">IF(E16="",IF($E$3&gt;F15,"未着手（遅延）","未着手"),IF(F16&lt;&gt;"","完了",IF($E$3&gt;F15,"進行中（遅延）","進行中")))</f>
        <v>未着手</v>
      </c>
      <c r="J16" s="36"/>
      <c r="K16" s="15" t="str">
        <f>IF($J$15="マイルストーン",IF(AND(E16&lt;&gt;"",K$6=E16),"◆",""),"")</f>
        <v/>
      </c>
      <c r="L16" s="15" t="str">
        <f>IF($J$15="マイルストーン",IF(AND(E16&lt;&gt;"",L$6=E16),"◆",""),"")</f>
        <v/>
      </c>
      <c r="M16" s="15" t="str">
        <f>IF($J$15="マイルストーン",IF(AND(E16&lt;&gt;"",M$6=E16),"◆",""),"")</f>
        <v/>
      </c>
      <c r="N16" s="15" t="str">
        <f>IF($J$15="マイルストーン",IF(AND(E16&lt;&gt;"",N$6=E16),"◆",""),"")</f>
        <v/>
      </c>
      <c r="O16" s="15" t="str">
        <f>IF($J$15="マイルストーン",IF(AND(E16&lt;&gt;"",O$6=E16),"◆",""),"")</f>
        <v/>
      </c>
      <c r="P16" s="15" t="str">
        <f>IF($J$15="マイルストーン",IF(AND(E16&lt;&gt;"",P$6=E16),"◆",""),"")</f>
        <v/>
      </c>
      <c r="Q16" s="15" t="str">
        <f>IF($J$15="マイルストーン",IF(AND(E16&lt;&gt;"",Q$6=E16),"◆",""),"")</f>
        <v/>
      </c>
      <c r="R16" s="15" t="str">
        <f>IF($J$15="マイルストーン",IF(AND(E16&lt;&gt;"",R$6=E16),"◆",""),"")</f>
        <v/>
      </c>
      <c r="S16" s="15" t="str">
        <f>IF($J$15="マイルストーン",IF(AND(E16&lt;&gt;"",S$6=E16),"◆",""),"")</f>
        <v/>
      </c>
      <c r="T16" s="15" t="str">
        <f>IF($J$15="マイルストーン",IF(AND(E16&lt;&gt;"",T$6=E16),"◆",""),"")</f>
        <v/>
      </c>
      <c r="U16" s="15" t="str">
        <f>IF($J$15="マイルストーン",IF(AND(E16&lt;&gt;"",U$6=E16),"◆",""),"")</f>
        <v/>
      </c>
      <c r="V16" s="15" t="str">
        <f>IF($J$15="マイルストーン",IF(AND(E16&lt;&gt;"",V$6=E16),"◆",""),"")</f>
        <v/>
      </c>
      <c r="W16" s="15" t="str">
        <f>IF($J$15="マイルストーン",IF(AND(E16&lt;&gt;"",W$6=E16),"◆",""),"")</f>
        <v/>
      </c>
      <c r="X16" s="15" t="str">
        <f>IF($J$15="マイルストーン",IF(AND(E16&lt;&gt;"",X$6=E16),"◆",""),"")</f>
        <v/>
      </c>
      <c r="Y16" s="15" t="str">
        <f>IF($J$15="マイルストーン",IF(AND(E16&lt;&gt;"",Y$6=E16),"◆",""),"")</f>
        <v/>
      </c>
      <c r="Z16" s="15" t="str">
        <f>IF($J$15="マイルストーン",IF(AND(E16&lt;&gt;"",Z$6=E16),"◆",""),"")</f>
        <v/>
      </c>
      <c r="AA16" s="15" t="str">
        <f>IF($J$15="マイルストーン",IF(AND(E16&lt;&gt;"",AA$6=E16),"◆",""),"")</f>
        <v/>
      </c>
      <c r="AB16" s="15" t="str">
        <f>IF($J$15="マイルストーン",IF(AND(E16&lt;&gt;"",AB$6=E16),"◆",""),"")</f>
        <v/>
      </c>
      <c r="AC16" s="15" t="str">
        <f>IF($J$15="マイルストーン",IF(AND(E16&lt;&gt;"",AC$6=E16),"◆",""),"")</f>
        <v/>
      </c>
      <c r="AD16" s="15" t="str">
        <f>IF($J$15="マイルストーン",IF(AND(E16&lt;&gt;"",AD$6=E16),"◆",""),"")</f>
        <v/>
      </c>
      <c r="AE16" s="15" t="str">
        <f>IF($J$15="マイルストーン",IF(AND(E16&lt;&gt;"",AE$6=E16),"◆",""),"")</f>
        <v/>
      </c>
      <c r="AF16" s="15" t="str">
        <f>IF($J$15="マイルストーン",IF(AND(E16&lt;&gt;"",AF$6=E16),"◆",""),"")</f>
        <v/>
      </c>
      <c r="AG16" s="15" t="str">
        <f>IF($J$15="マイルストーン",IF(AND(E16&lt;&gt;"",AG$6=E16),"◆",""),"")</f>
        <v/>
      </c>
      <c r="AH16" s="15" t="str">
        <f>IF($J$15="マイルストーン",IF(AND(E16&lt;&gt;"",AH$6=E16),"◆",""),"")</f>
        <v/>
      </c>
      <c r="AI16" s="15" t="str">
        <f>IF($J$15="マイルストーン",IF(AND(E16&lt;&gt;"",AI$6=E16),"◆",""),"")</f>
        <v/>
      </c>
      <c r="AJ16" s="15" t="str">
        <f>IF($J$15="マイルストーン",IF(AND(E16&lt;&gt;"",AJ$6=E16),"◆",""),"")</f>
        <v/>
      </c>
      <c r="AK16" s="15" t="str">
        <f>IF($J$15="マイルストーン",IF(AND(E16&lt;&gt;"",AK$6=E16),"◆",""),"")</f>
        <v/>
      </c>
      <c r="AL16" s="15" t="str">
        <f>IF($J$15="マイルストーン",IF(AND(E16&lt;&gt;"",AL$6=E16),"◆",""),"")</f>
        <v/>
      </c>
      <c r="AM16" s="15" t="str">
        <f>IF($J$15="マイルストーン",IF(AND(E16&lt;&gt;"",AM$6=E16),"◆",""),"")</f>
        <v/>
      </c>
      <c r="AN16" s="15" t="str">
        <f>IF($J$15="マイルストーン",IF(AND(E16&lt;&gt;"",AN$6=E16),"◆",""),"")</f>
        <v/>
      </c>
      <c r="AO16" s="15" t="str">
        <f>IF($J$15="マイルストーン",IF(AND(E16&lt;&gt;"",AO$6=E16),"◆",""),"")</f>
        <v/>
      </c>
      <c r="AP16" s="15" t="str">
        <f>IF($J$15="マイルストーン",IF(AND(E16&lt;&gt;"",AP$6=E16),"◆",""),"")</f>
        <v/>
      </c>
      <c r="AQ16" s="15" t="str">
        <f>IF($J$15="マイルストーン",IF(AND(E16&lt;&gt;"",AQ$6=E16),"◆",""),"")</f>
        <v/>
      </c>
      <c r="AR16" s="15" t="str">
        <f>IF($J$15="マイルストーン",IF(AND(E16&lt;&gt;"",AR$6=E16),"◆",""),"")</f>
        <v/>
      </c>
      <c r="AS16" s="15" t="str">
        <f>IF($J$15="マイルストーン",IF(AND(E16&lt;&gt;"",AS$6=E16),"◆",""),"")</f>
        <v/>
      </c>
      <c r="AT16" s="15" t="str">
        <f>IF($J$15="マイルストーン",IF(AND(E16&lt;&gt;"",AT$6=E16),"◆",""),"")</f>
        <v/>
      </c>
      <c r="AU16" s="15" t="str">
        <f>IF($J$15="マイルストーン",IF(AND(E16&lt;&gt;"",AU$6=E16),"◆",""),"")</f>
        <v/>
      </c>
      <c r="AV16" s="15" t="str">
        <f>IF($J$15="マイルストーン",IF(AND(E16&lt;&gt;"",AV$6=E16),"◆",""),"")</f>
        <v/>
      </c>
      <c r="AW16" s="15" t="str">
        <f>IF($J$15="マイルストーン",IF(AND(E16&lt;&gt;"",AW$6=E16),"◆",""),"")</f>
        <v/>
      </c>
      <c r="AX16" s="15" t="str">
        <f>IF($J$15="マイルストーン",IF(AND(E16&lt;&gt;"",AX$6=E16),"◆",""),"")</f>
        <v/>
      </c>
      <c r="AY16" s="15" t="str">
        <f>IF($J$15="マイルストーン",IF(AND(E16&lt;&gt;"",AY$6=E16),"◆",""),"")</f>
        <v/>
      </c>
      <c r="AZ16" s="15" t="str">
        <f>IF($J$15="マイルストーン",IF(AND(E16&lt;&gt;"",AZ$6=E16),"◆",""),"")</f>
        <v/>
      </c>
      <c r="BA16" s="15" t="str">
        <f>IF($J$15="マイルストーン",IF(AND(E16&lt;&gt;"",BA$6=E16),"◆",""),"")</f>
        <v/>
      </c>
      <c r="BB16" s="15" t="str">
        <f>IF($J$15="マイルストーン",IF(AND(E16&lt;&gt;"",BB$6=E16),"◆",""),"")</f>
        <v/>
      </c>
      <c r="BC16" s="15" t="str">
        <f>IF($J$15="マイルストーン",IF(AND(E16&lt;&gt;"",BC$6=E16),"◆",""),"")</f>
        <v/>
      </c>
      <c r="BD16" s="15" t="str">
        <f>IF($J$15="マイルストーン",IF(AND(E16&lt;&gt;"",BD$6=E16),"◆",""),"")</f>
        <v/>
      </c>
      <c r="BE16" s="15" t="str">
        <f>IF($J$15="マイルストーン",IF(AND(E16&lt;&gt;"",BE$6=E16),"◆",""),"")</f>
        <v/>
      </c>
      <c r="BF16" s="15" t="str">
        <f>IF($J$15="マイルストーン",IF(AND(E16&lt;&gt;"",BF$6=E16),"◆",""),"")</f>
        <v/>
      </c>
      <c r="BG16" s="15" t="str">
        <f>IF($J$15="マイルストーン",IF(AND(E16&lt;&gt;"",BG$6=E16),"◆",""),"")</f>
        <v/>
      </c>
      <c r="BH16" s="15" t="str">
        <f>IF($J$15="マイルストーン",IF(AND(E16&lt;&gt;"",BH$6=E16),"◆",""),"")</f>
        <v/>
      </c>
      <c r="BI16" s="15" t="str">
        <f>IF($J$15="マイルストーン",IF(AND(E16&lt;&gt;"",BI$6=E16),"◆",""),"")</f>
        <v/>
      </c>
      <c r="BJ16" s="15" t="str">
        <f>IF($J$15="マイルストーン",IF(AND(E16&lt;&gt;"",BJ$6=E16),"◆",""),"")</f>
        <v/>
      </c>
      <c r="BK16" s="15" t="str">
        <f>IF($J$15="マイルストーン",IF(AND(E16&lt;&gt;"",BK$6=E16),"◆",""),"")</f>
        <v/>
      </c>
      <c r="BL16" s="15" t="str">
        <f>IF($J$15="マイルストーン",IF(AND(E16&lt;&gt;"",BL$6=E16),"◆",""),"")</f>
        <v/>
      </c>
      <c r="BM16" s="15" t="str">
        <f>IF($J$15="マイルストーン",IF(AND(E16&lt;&gt;"",BM$6=E16),"◆",""),"")</f>
        <v/>
      </c>
      <c r="BN16" s="15" t="str">
        <f>IF($J$15="マイルストーン",IF(AND(E16&lt;&gt;"",BN$6=E16),"◆",""),"")</f>
        <v/>
      </c>
      <c r="BO16" s="15" t="str">
        <f>IF($J$15="マイルストーン",IF(AND(E16&lt;&gt;"",BO$6=E16),"◆",""),"")</f>
        <v/>
      </c>
      <c r="BP16" s="15" t="str">
        <f>IF($J$15="マイルストーン",IF(AND(E16&lt;&gt;"",BP$6=E16),"◆",""),"")</f>
        <v/>
      </c>
      <c r="BQ16" s="15" t="str">
        <f>IF($J$15="マイルストーン",IF(AND(E16&lt;&gt;"",BQ$6=E16),"◆",""),"")</f>
        <v/>
      </c>
      <c r="BR16" s="15" t="str">
        <f>IF($J$15="マイルストーン",IF(AND(E16&lt;&gt;"",BR$6=E16),"◆",""),"")</f>
        <v/>
      </c>
    </row>
    <row r="17" spans="1:70" ht="15" customHeight="1">
      <c r="A17" s="30">
        <v>6</v>
      </c>
      <c r="B17" s="31" t="s">
        <v>49</v>
      </c>
      <c r="C17" s="32"/>
      <c r="D17" s="18" t="s">
        <v>20</v>
      </c>
      <c r="E17" s="19">
        <f>$E$1+42</f>
        <v>46254</v>
      </c>
      <c r="F17" s="19">
        <f>$E$1+49</f>
        <v>46261</v>
      </c>
      <c r="G17" s="20">
        <f>IF(AND(E17&lt;&gt;"",F17&lt;&gt;""),F17-E17+1,"")</f>
        <v>8</v>
      </c>
      <c r="H17" s="21" t="s">
        <v>21</v>
      </c>
      <c r="I17" s="21" t="s">
        <v>21</v>
      </c>
      <c r="J17" s="32" t="s">
        <v>22</v>
      </c>
      <c r="K17" s="22" t="str">
        <f t="shared" ref="K17:AP17" si="10">IF($J$17="マイルストーン",IF(K$6=$E17,"◆",""),"")</f>
        <v/>
      </c>
      <c r="L17" s="22" t="str">
        <f t="shared" si="10"/>
        <v/>
      </c>
      <c r="M17" s="22" t="str">
        <f t="shared" si="10"/>
        <v/>
      </c>
      <c r="N17" s="22" t="str">
        <f t="shared" si="10"/>
        <v/>
      </c>
      <c r="O17" s="22" t="str">
        <f t="shared" si="10"/>
        <v/>
      </c>
      <c r="P17" s="22" t="str">
        <f t="shared" si="10"/>
        <v/>
      </c>
      <c r="Q17" s="22" t="str">
        <f t="shared" si="10"/>
        <v/>
      </c>
      <c r="R17" s="22" t="str">
        <f t="shared" si="10"/>
        <v/>
      </c>
      <c r="S17" s="22" t="str">
        <f t="shared" si="10"/>
        <v/>
      </c>
      <c r="T17" s="22" t="str">
        <f t="shared" si="10"/>
        <v/>
      </c>
      <c r="U17" s="22" t="str">
        <f t="shared" si="10"/>
        <v/>
      </c>
      <c r="V17" s="22" t="str">
        <f t="shared" si="10"/>
        <v/>
      </c>
      <c r="W17" s="22" t="str">
        <f t="shared" si="10"/>
        <v/>
      </c>
      <c r="X17" s="22" t="str">
        <f t="shared" si="10"/>
        <v/>
      </c>
      <c r="Y17" s="22" t="str">
        <f t="shared" si="10"/>
        <v/>
      </c>
      <c r="Z17" s="22" t="str">
        <f t="shared" si="10"/>
        <v/>
      </c>
      <c r="AA17" s="22" t="str">
        <f t="shared" si="10"/>
        <v/>
      </c>
      <c r="AB17" s="22" t="str">
        <f t="shared" si="10"/>
        <v/>
      </c>
      <c r="AC17" s="22" t="str">
        <f t="shared" si="10"/>
        <v/>
      </c>
      <c r="AD17" s="22" t="str">
        <f t="shared" si="10"/>
        <v/>
      </c>
      <c r="AE17" s="22" t="str">
        <f t="shared" si="10"/>
        <v/>
      </c>
      <c r="AF17" s="22" t="str">
        <f t="shared" si="10"/>
        <v/>
      </c>
      <c r="AG17" s="22" t="str">
        <f t="shared" si="10"/>
        <v/>
      </c>
      <c r="AH17" s="22" t="str">
        <f t="shared" si="10"/>
        <v/>
      </c>
      <c r="AI17" s="22" t="str">
        <f t="shared" si="10"/>
        <v/>
      </c>
      <c r="AJ17" s="22" t="str">
        <f t="shared" si="10"/>
        <v/>
      </c>
      <c r="AK17" s="22" t="str">
        <f t="shared" si="10"/>
        <v/>
      </c>
      <c r="AL17" s="22" t="str">
        <f t="shared" si="10"/>
        <v/>
      </c>
      <c r="AM17" s="22" t="str">
        <f t="shared" si="10"/>
        <v/>
      </c>
      <c r="AN17" s="22" t="str">
        <f t="shared" si="10"/>
        <v/>
      </c>
      <c r="AO17" s="22" t="str">
        <f t="shared" si="10"/>
        <v/>
      </c>
      <c r="AP17" s="22" t="str">
        <f t="shared" si="10"/>
        <v/>
      </c>
      <c r="AQ17" s="22" t="str">
        <f t="shared" ref="AQ17:BR17" si="11">IF($J$17="マイルストーン",IF(AQ$6=$E17,"◆",""),"")</f>
        <v/>
      </c>
      <c r="AR17" s="22" t="str">
        <f t="shared" si="11"/>
        <v/>
      </c>
      <c r="AS17" s="22" t="str">
        <f t="shared" si="11"/>
        <v/>
      </c>
      <c r="AT17" s="22" t="str">
        <f t="shared" si="11"/>
        <v/>
      </c>
      <c r="AU17" s="22" t="str">
        <f t="shared" si="11"/>
        <v/>
      </c>
      <c r="AV17" s="22" t="str">
        <f t="shared" si="11"/>
        <v/>
      </c>
      <c r="AW17" s="22" t="str">
        <f t="shared" si="11"/>
        <v/>
      </c>
      <c r="AX17" s="22" t="str">
        <f t="shared" si="11"/>
        <v/>
      </c>
      <c r="AY17" s="22" t="str">
        <f t="shared" si="11"/>
        <v/>
      </c>
      <c r="AZ17" s="22" t="str">
        <f t="shared" si="11"/>
        <v/>
      </c>
      <c r="BA17" s="22" t="str">
        <f t="shared" si="11"/>
        <v/>
      </c>
      <c r="BB17" s="22" t="str">
        <f t="shared" si="11"/>
        <v/>
      </c>
      <c r="BC17" s="22" t="str">
        <f t="shared" si="11"/>
        <v/>
      </c>
      <c r="BD17" s="22" t="str">
        <f t="shared" si="11"/>
        <v/>
      </c>
      <c r="BE17" s="22" t="str">
        <f t="shared" si="11"/>
        <v/>
      </c>
      <c r="BF17" s="22" t="str">
        <f t="shared" si="11"/>
        <v/>
      </c>
      <c r="BG17" s="22" t="str">
        <f t="shared" si="11"/>
        <v/>
      </c>
      <c r="BH17" s="22" t="str">
        <f t="shared" si="11"/>
        <v/>
      </c>
      <c r="BI17" s="22" t="str">
        <f t="shared" si="11"/>
        <v/>
      </c>
      <c r="BJ17" s="22" t="str">
        <f t="shared" si="11"/>
        <v/>
      </c>
      <c r="BK17" s="22" t="str">
        <f t="shared" si="11"/>
        <v/>
      </c>
      <c r="BL17" s="22" t="str">
        <f t="shared" si="11"/>
        <v/>
      </c>
      <c r="BM17" s="22" t="str">
        <f t="shared" si="11"/>
        <v/>
      </c>
      <c r="BN17" s="22" t="str">
        <f t="shared" si="11"/>
        <v/>
      </c>
      <c r="BO17" s="22" t="str">
        <f t="shared" si="11"/>
        <v/>
      </c>
      <c r="BP17" s="22" t="str">
        <f t="shared" si="11"/>
        <v/>
      </c>
      <c r="BQ17" s="22" t="str">
        <f t="shared" si="11"/>
        <v/>
      </c>
      <c r="BR17" s="22" t="str">
        <f t="shared" si="11"/>
        <v/>
      </c>
    </row>
    <row r="18" spans="1:70" ht="15.75">
      <c r="A18" s="30"/>
      <c r="B18" s="30"/>
      <c r="C18" s="30"/>
      <c r="D18" s="18" t="s">
        <v>23</v>
      </c>
      <c r="E18" s="19"/>
      <c r="F18" s="19"/>
      <c r="G18" s="20" t="str">
        <f>IF(F18&lt;&gt;"",F18-E18+1,IF(E18&lt;&gt;"",$E$3-E18+1,""))</f>
        <v/>
      </c>
      <c r="H18" s="23"/>
      <c r="I18" s="24" t="str">
        <f ca="1">IF(E18="",IF($E$3&gt;F17,"未着手（遅延）","未着手"),IF(F18&lt;&gt;"","完了",IF($E$3&gt;F17,"進行中（遅延）","進行中")))</f>
        <v>未着手</v>
      </c>
      <c r="J18" s="32"/>
      <c r="K18" s="22" t="str">
        <f>IF($J$17="マイルストーン",IF(AND(E18&lt;&gt;"",K$6=E18),"◆",""),"")</f>
        <v/>
      </c>
      <c r="L18" s="22" t="str">
        <f>IF($J$17="マイルストーン",IF(AND(E18&lt;&gt;"",L$6=E18),"◆",""),"")</f>
        <v/>
      </c>
      <c r="M18" s="22" t="str">
        <f>IF($J$17="マイルストーン",IF(AND(E18&lt;&gt;"",M$6=E18),"◆",""),"")</f>
        <v/>
      </c>
      <c r="N18" s="22" t="str">
        <f>IF($J$17="マイルストーン",IF(AND(E18&lt;&gt;"",N$6=E18),"◆",""),"")</f>
        <v/>
      </c>
      <c r="O18" s="22" t="str">
        <f>IF($J$17="マイルストーン",IF(AND(E18&lt;&gt;"",O$6=E18),"◆",""),"")</f>
        <v/>
      </c>
      <c r="P18" s="22" t="str">
        <f>IF($J$17="マイルストーン",IF(AND(E18&lt;&gt;"",P$6=E18),"◆",""),"")</f>
        <v/>
      </c>
      <c r="Q18" s="22" t="str">
        <f>IF($J$17="マイルストーン",IF(AND(E18&lt;&gt;"",Q$6=E18),"◆",""),"")</f>
        <v/>
      </c>
      <c r="R18" s="22" t="str">
        <f>IF($J$17="マイルストーン",IF(AND(E18&lt;&gt;"",R$6=E18),"◆",""),"")</f>
        <v/>
      </c>
      <c r="S18" s="22" t="str">
        <f>IF($J$17="マイルストーン",IF(AND(E18&lt;&gt;"",S$6=E18),"◆",""),"")</f>
        <v/>
      </c>
      <c r="T18" s="22" t="str">
        <f>IF($J$17="マイルストーン",IF(AND(E18&lt;&gt;"",T$6=E18),"◆",""),"")</f>
        <v/>
      </c>
      <c r="U18" s="22" t="str">
        <f>IF($J$17="マイルストーン",IF(AND(E18&lt;&gt;"",U$6=E18),"◆",""),"")</f>
        <v/>
      </c>
      <c r="V18" s="22" t="str">
        <f>IF($J$17="マイルストーン",IF(AND(E18&lt;&gt;"",V$6=E18),"◆",""),"")</f>
        <v/>
      </c>
      <c r="W18" s="22" t="str">
        <f>IF($J$17="マイルストーン",IF(AND(E18&lt;&gt;"",W$6=E18),"◆",""),"")</f>
        <v/>
      </c>
      <c r="X18" s="22" t="str">
        <f>IF($J$17="マイルストーン",IF(AND(E18&lt;&gt;"",X$6=E18),"◆",""),"")</f>
        <v/>
      </c>
      <c r="Y18" s="22" t="str">
        <f>IF($J$17="マイルストーン",IF(AND(E18&lt;&gt;"",Y$6=E18),"◆",""),"")</f>
        <v/>
      </c>
      <c r="Z18" s="22" t="str">
        <f>IF($J$17="マイルストーン",IF(AND(E18&lt;&gt;"",Z$6=E18),"◆",""),"")</f>
        <v/>
      </c>
      <c r="AA18" s="22" t="str">
        <f>IF($J$17="マイルストーン",IF(AND(E18&lt;&gt;"",AA$6=E18),"◆",""),"")</f>
        <v/>
      </c>
      <c r="AB18" s="22" t="str">
        <f>IF($J$17="マイルストーン",IF(AND(E18&lt;&gt;"",AB$6=E18),"◆",""),"")</f>
        <v/>
      </c>
      <c r="AC18" s="22" t="str">
        <f>IF($J$17="マイルストーン",IF(AND(E18&lt;&gt;"",AC$6=E18),"◆",""),"")</f>
        <v/>
      </c>
      <c r="AD18" s="22" t="str">
        <f>IF($J$17="マイルストーン",IF(AND(E18&lt;&gt;"",AD$6=E18),"◆",""),"")</f>
        <v/>
      </c>
      <c r="AE18" s="22" t="str">
        <f>IF($J$17="マイルストーン",IF(AND(E18&lt;&gt;"",AE$6=E18),"◆",""),"")</f>
        <v/>
      </c>
      <c r="AF18" s="22" t="str">
        <f>IF($J$17="マイルストーン",IF(AND(E18&lt;&gt;"",AF$6=E18),"◆",""),"")</f>
        <v/>
      </c>
      <c r="AG18" s="22" t="str">
        <f>IF($J$17="マイルストーン",IF(AND(E18&lt;&gt;"",AG$6=E18),"◆",""),"")</f>
        <v/>
      </c>
      <c r="AH18" s="22" t="str">
        <f>IF($J$17="マイルストーン",IF(AND(E18&lt;&gt;"",AH$6=E18),"◆",""),"")</f>
        <v/>
      </c>
      <c r="AI18" s="22" t="str">
        <f>IF($J$17="マイルストーン",IF(AND(E18&lt;&gt;"",AI$6=E18),"◆",""),"")</f>
        <v/>
      </c>
      <c r="AJ18" s="22" t="str">
        <f>IF($J$17="マイルストーン",IF(AND(E18&lt;&gt;"",AJ$6=E18),"◆",""),"")</f>
        <v/>
      </c>
      <c r="AK18" s="22" t="str">
        <f>IF($J$17="マイルストーン",IF(AND(E18&lt;&gt;"",AK$6=E18),"◆",""),"")</f>
        <v/>
      </c>
      <c r="AL18" s="22" t="str">
        <f>IF($J$17="マイルストーン",IF(AND(E18&lt;&gt;"",AL$6=E18),"◆",""),"")</f>
        <v/>
      </c>
      <c r="AM18" s="22" t="str">
        <f>IF($J$17="マイルストーン",IF(AND(E18&lt;&gt;"",AM$6=E18),"◆",""),"")</f>
        <v/>
      </c>
      <c r="AN18" s="22" t="str">
        <f>IF($J$17="マイルストーン",IF(AND(E18&lt;&gt;"",AN$6=E18),"◆",""),"")</f>
        <v/>
      </c>
      <c r="AO18" s="22" t="str">
        <f>IF($J$17="マイルストーン",IF(AND(E18&lt;&gt;"",AO$6=E18),"◆",""),"")</f>
        <v/>
      </c>
      <c r="AP18" s="22" t="str">
        <f>IF($J$17="マイルストーン",IF(AND(E18&lt;&gt;"",AP$6=E18),"◆",""),"")</f>
        <v/>
      </c>
      <c r="AQ18" s="22" t="str">
        <f>IF($J$17="マイルストーン",IF(AND(E18&lt;&gt;"",AQ$6=E18),"◆",""),"")</f>
        <v/>
      </c>
      <c r="AR18" s="22" t="str">
        <f>IF($J$17="マイルストーン",IF(AND(E18&lt;&gt;"",AR$6=E18),"◆",""),"")</f>
        <v/>
      </c>
      <c r="AS18" s="22" t="str">
        <f>IF($J$17="マイルストーン",IF(AND(E18&lt;&gt;"",AS$6=E18),"◆",""),"")</f>
        <v/>
      </c>
      <c r="AT18" s="22" t="str">
        <f>IF($J$17="マイルストーン",IF(AND(E18&lt;&gt;"",AT$6=E18),"◆",""),"")</f>
        <v/>
      </c>
      <c r="AU18" s="22" t="str">
        <f>IF($J$17="マイルストーン",IF(AND(E18&lt;&gt;"",AU$6=E18),"◆",""),"")</f>
        <v/>
      </c>
      <c r="AV18" s="22" t="str">
        <f>IF($J$17="マイルストーン",IF(AND(E18&lt;&gt;"",AV$6=E18),"◆",""),"")</f>
        <v/>
      </c>
      <c r="AW18" s="22" t="str">
        <f>IF($J$17="マイルストーン",IF(AND(E18&lt;&gt;"",AW$6=E18),"◆",""),"")</f>
        <v/>
      </c>
      <c r="AX18" s="22" t="str">
        <f>IF($J$17="マイルストーン",IF(AND(E18&lt;&gt;"",AX$6=E18),"◆",""),"")</f>
        <v/>
      </c>
      <c r="AY18" s="22" t="str">
        <f>IF($J$17="マイルストーン",IF(AND(E18&lt;&gt;"",AY$6=E18),"◆",""),"")</f>
        <v/>
      </c>
      <c r="AZ18" s="22" t="str">
        <f>IF($J$17="マイルストーン",IF(AND(E18&lt;&gt;"",AZ$6=E18),"◆",""),"")</f>
        <v/>
      </c>
      <c r="BA18" s="22" t="str">
        <f>IF($J$17="マイルストーン",IF(AND(E18&lt;&gt;"",BA$6=E18),"◆",""),"")</f>
        <v/>
      </c>
      <c r="BB18" s="22" t="str">
        <f>IF($J$17="マイルストーン",IF(AND(E18&lt;&gt;"",BB$6=E18),"◆",""),"")</f>
        <v/>
      </c>
      <c r="BC18" s="22" t="str">
        <f>IF($J$17="マイルストーン",IF(AND(E18&lt;&gt;"",BC$6=E18),"◆",""),"")</f>
        <v/>
      </c>
      <c r="BD18" s="22" t="str">
        <f>IF($J$17="マイルストーン",IF(AND(E18&lt;&gt;"",BD$6=E18),"◆",""),"")</f>
        <v/>
      </c>
      <c r="BE18" s="22" t="str">
        <f>IF($J$17="マイルストーン",IF(AND(E18&lt;&gt;"",BE$6=E18),"◆",""),"")</f>
        <v/>
      </c>
      <c r="BF18" s="22" t="str">
        <f>IF($J$17="マイルストーン",IF(AND(E18&lt;&gt;"",BF$6=E18),"◆",""),"")</f>
        <v/>
      </c>
      <c r="BG18" s="22" t="str">
        <f>IF($J$17="マイルストーン",IF(AND(E18&lt;&gt;"",BG$6=E18),"◆",""),"")</f>
        <v/>
      </c>
      <c r="BH18" s="22" t="str">
        <f>IF($J$17="マイルストーン",IF(AND(E18&lt;&gt;"",BH$6=E18),"◆",""),"")</f>
        <v/>
      </c>
      <c r="BI18" s="22" t="str">
        <f>IF($J$17="マイルストーン",IF(AND(E18&lt;&gt;"",BI$6=E18),"◆",""),"")</f>
        <v/>
      </c>
      <c r="BJ18" s="22" t="str">
        <f>IF($J$17="マイルストーン",IF(AND(E18&lt;&gt;"",BJ$6=E18),"◆",""),"")</f>
        <v/>
      </c>
      <c r="BK18" s="22" t="str">
        <f>IF($J$17="マイルストーン",IF(AND(E18&lt;&gt;"",BK$6=E18),"◆",""),"")</f>
        <v/>
      </c>
      <c r="BL18" s="22" t="str">
        <f>IF($J$17="マイルストーン",IF(AND(E18&lt;&gt;"",BL$6=E18),"◆",""),"")</f>
        <v/>
      </c>
      <c r="BM18" s="22" t="str">
        <f>IF($J$17="マイルストーン",IF(AND(E18&lt;&gt;"",BM$6=E18),"◆",""),"")</f>
        <v/>
      </c>
      <c r="BN18" s="22" t="str">
        <f>IF($J$17="マイルストーン",IF(AND(E18&lt;&gt;"",BN$6=E18),"◆",""),"")</f>
        <v/>
      </c>
      <c r="BO18" s="22" t="str">
        <f>IF($J$17="マイルストーン",IF(AND(E18&lt;&gt;"",BO$6=E18),"◆",""),"")</f>
        <v/>
      </c>
      <c r="BP18" s="22" t="str">
        <f>IF($J$17="マイルストーン",IF(AND(E18&lt;&gt;"",BP$6=E18),"◆",""),"")</f>
        <v/>
      </c>
      <c r="BQ18" s="22" t="str">
        <f>IF($J$17="マイルストーン",IF(AND(E18&lt;&gt;"",BQ$6=E18),"◆",""),"")</f>
        <v/>
      </c>
      <c r="BR18" s="22" t="str">
        <f>IF($J$17="マイルストーン",IF(AND(E18&lt;&gt;"",BR$6=E18),"◆",""),"")</f>
        <v/>
      </c>
    </row>
  </sheetData>
  <mergeCells count="25">
    <mergeCell ref="K5:BR5"/>
    <mergeCell ref="A7:A8"/>
    <mergeCell ref="B7:B8"/>
    <mergeCell ref="C7:C8"/>
    <mergeCell ref="J7:J8"/>
    <mergeCell ref="A9:A10"/>
    <mergeCell ref="B9:B10"/>
    <mergeCell ref="C9:C10"/>
    <mergeCell ref="J9:J10"/>
    <mergeCell ref="A11:A12"/>
    <mergeCell ref="B11:B12"/>
    <mergeCell ref="C11:C12"/>
    <mergeCell ref="J11:J12"/>
    <mergeCell ref="A17:A18"/>
    <mergeCell ref="B17:B18"/>
    <mergeCell ref="C17:C18"/>
    <mergeCell ref="J17:J18"/>
    <mergeCell ref="A13:A14"/>
    <mergeCell ref="B13:B14"/>
    <mergeCell ref="C13:C14"/>
    <mergeCell ref="J13:J14"/>
    <mergeCell ref="A15:A16"/>
    <mergeCell ref="B15:B16"/>
    <mergeCell ref="C15:C16"/>
    <mergeCell ref="J15:J16"/>
  </mergeCells>
  <phoneticPr fontId="18"/>
  <conditionalFormatting sqref="I8">
    <cfRule type="expression" dxfId="49" priority="60">
      <formula>I8="進行中"</formula>
    </cfRule>
    <cfRule type="expression" dxfId="48" priority="59">
      <formula>I8="完了"</formula>
    </cfRule>
    <cfRule type="expression" dxfId="47" priority="61">
      <formula>OR(I8="進行中（遅延）",I8="未着手（遅延）")</formula>
    </cfRule>
  </conditionalFormatting>
  <conditionalFormatting sqref="I10">
    <cfRule type="expression" dxfId="46" priority="64">
      <formula>OR(I10="進行中（遅延）",I10="未着手（遅延）")</formula>
    </cfRule>
    <cfRule type="expression" dxfId="45" priority="63">
      <formula>I10="進行中"</formula>
    </cfRule>
    <cfRule type="expression" dxfId="44" priority="62">
      <formula>I10="完了"</formula>
    </cfRule>
  </conditionalFormatting>
  <conditionalFormatting sqref="I12">
    <cfRule type="expression" dxfId="43" priority="67">
      <formula>OR(I12="進行中（遅延）",I12="未着手（遅延）")</formula>
    </cfRule>
    <cfRule type="expression" dxfId="42" priority="66">
      <formula>I12="進行中"</formula>
    </cfRule>
    <cfRule type="expression" dxfId="41" priority="65">
      <formula>I12="完了"</formula>
    </cfRule>
  </conditionalFormatting>
  <conditionalFormatting sqref="I14">
    <cfRule type="expression" dxfId="40" priority="70">
      <formula>OR(I14="進行中（遅延）",I14="未着手（遅延）")</formula>
    </cfRule>
    <cfRule type="expression" dxfId="39" priority="69">
      <formula>I14="進行中"</formula>
    </cfRule>
    <cfRule type="expression" dxfId="38" priority="68">
      <formula>I14="完了"</formula>
    </cfRule>
  </conditionalFormatting>
  <conditionalFormatting sqref="I16">
    <cfRule type="expression" dxfId="37" priority="72">
      <formula>I16="進行中"</formula>
    </cfRule>
    <cfRule type="expression" dxfId="36" priority="71">
      <formula>I16="完了"</formula>
    </cfRule>
    <cfRule type="expression" dxfId="35" priority="73">
      <formula>OR(I16="進行中（遅延）",I16="未着手（遅延）")</formula>
    </cfRule>
  </conditionalFormatting>
  <conditionalFormatting sqref="I18">
    <cfRule type="expression" dxfId="34" priority="74">
      <formula>I18="完了"</formula>
    </cfRule>
    <cfRule type="expression" dxfId="33" priority="75">
      <formula>I18="進行中"</formula>
    </cfRule>
    <cfRule type="expression" dxfId="32" priority="76">
      <formula>OR(I18="進行中（遅延）",I18="未着手（遅延）")</formula>
    </cfRule>
  </conditionalFormatting>
  <conditionalFormatting sqref="K6:BR6">
    <cfRule type="expression" dxfId="31" priority="58">
      <formula>K$6=$E$3</formula>
    </cfRule>
  </conditionalFormatting>
  <conditionalFormatting sqref="K6:BR18">
    <cfRule type="expression" dxfId="30" priority="57">
      <formula>WEEKDAY(K$6,2)&gt;=6</formula>
    </cfRule>
  </conditionalFormatting>
  <conditionalFormatting sqref="K7:BR7">
    <cfRule type="expression" dxfId="29" priority="2">
      <formula>AND($J$7&lt;&gt;"マイルストーン",K$6&lt;&gt;"",$E7&lt;&gt;"",K$6&gt;=$E7,K$6&lt;=$F7)</formula>
    </cfRule>
  </conditionalFormatting>
  <conditionalFormatting sqref="K8:BR8">
    <cfRule type="expression" dxfId="28" priority="3">
      <formula>AND($J$7&lt;&gt;"マイルストーン",K$6&lt;&gt;"",$E8&lt;&gt;"",$F8&lt;&gt;"",K$6&gt;=$E8,K$6&lt;=$F8)</formula>
    </cfRule>
    <cfRule type="expression" dxfId="27" priority="4">
      <formula>AND($J$7&lt;&gt;"マイルストーン",K$6&lt;&gt;"",$E8&lt;&gt;"",$F8="",K$6&gt;=$E8,K$6&lt;=$E$3)</formula>
    </cfRule>
    <cfRule type="expression" dxfId="26" priority="5">
      <formula>AND($J$7="マイルストーン",E8&lt;&gt;"",K$6=E8,E8&lt;=$E7)</formula>
    </cfRule>
    <cfRule type="expression" dxfId="25" priority="6">
      <formula>AND($J$7="マイルストーン",E8&lt;&gt;"",K$6=E8,E8&gt;$E7)</formula>
    </cfRule>
  </conditionalFormatting>
  <conditionalFormatting sqref="K9:BR9">
    <cfRule type="expression" dxfId="24" priority="7">
      <formula>AND($J$9&lt;&gt;"マイルストーン",K$6&lt;&gt;"",$E9&lt;&gt;"",K$6&gt;=$E9,K$6&lt;=$F9)</formula>
    </cfRule>
  </conditionalFormatting>
  <conditionalFormatting sqref="K10:BR10">
    <cfRule type="expression" dxfId="23" priority="9">
      <formula>AND($J$9&lt;&gt;"マイルストーン",K$6&lt;&gt;"",$E10&lt;&gt;"",$F10="",K$6&gt;=$E10,K$6&lt;=$E$3)</formula>
    </cfRule>
    <cfRule type="expression" dxfId="22" priority="10">
      <formula>AND($J$9="マイルストーン",E10&lt;&gt;"",K$6=E10,E10&lt;=$E9)</formula>
    </cfRule>
    <cfRule type="expression" dxfId="21" priority="11">
      <formula>AND($J$9="マイルストーン",E10&lt;&gt;"",K$6=E10,E10&gt;$E9)</formula>
    </cfRule>
    <cfRule type="expression" dxfId="20" priority="8">
      <formula>AND($J$9&lt;&gt;"マイルストーン",K$6&lt;&gt;"",$E10&lt;&gt;"",$F10&lt;&gt;"",K$6&gt;=$E10,K$6&lt;=$F10)</formula>
    </cfRule>
  </conditionalFormatting>
  <conditionalFormatting sqref="K11:BR11">
    <cfRule type="expression" dxfId="19" priority="12">
      <formula>AND($J$11&lt;&gt;"マイルストーン",K$6&lt;&gt;"",$E11&lt;&gt;"",K$6&gt;=$E11,K$6&lt;=$F11)</formula>
    </cfRule>
  </conditionalFormatting>
  <conditionalFormatting sqref="K12:BR12">
    <cfRule type="expression" dxfId="18" priority="16">
      <formula>AND($J$11="マイルストーン",E12&lt;&gt;"",K$6=E12,E12&gt;$E11)</formula>
    </cfRule>
    <cfRule type="expression" dxfId="17" priority="15">
      <formula>AND($J$11="マイルストーン",E12&lt;&gt;"",K$6=E12,E12&lt;=$E11)</formula>
    </cfRule>
    <cfRule type="expression" dxfId="16" priority="14">
      <formula>AND($J$11&lt;&gt;"マイルストーン",K$6&lt;&gt;"",$E12&lt;&gt;"",$F12="",K$6&gt;=$E12,K$6&lt;=$E$3)</formula>
    </cfRule>
    <cfRule type="expression" dxfId="15" priority="13">
      <formula>AND($J$11&lt;&gt;"マイルストーン",K$6&lt;&gt;"",$E12&lt;&gt;"",$F12&lt;&gt;"",K$6&gt;=$E12,K$6&lt;=$F12)</formula>
    </cfRule>
  </conditionalFormatting>
  <conditionalFormatting sqref="K13:BR13">
    <cfRule type="expression" dxfId="14" priority="17">
      <formula>AND($J$13&lt;&gt;"マイルストーン",K$6&lt;&gt;"",$E13&lt;&gt;"",K$6&gt;=$E13,K$6&lt;=$F13)</formula>
    </cfRule>
  </conditionalFormatting>
  <conditionalFormatting sqref="K14:BR14">
    <cfRule type="expression" dxfId="13" priority="20">
      <formula>AND($J$13="マイルストーン",E14&lt;&gt;"",K$6=E14,E14&lt;=$E13)</formula>
    </cfRule>
    <cfRule type="expression" dxfId="12" priority="19">
      <formula>AND($J$13&lt;&gt;"マイルストーン",K$6&lt;&gt;"",$E14&lt;&gt;"",$F14="",K$6&gt;=$E14,K$6&lt;=$E$3)</formula>
    </cfRule>
    <cfRule type="expression" dxfId="11" priority="18">
      <formula>AND($J$13&lt;&gt;"マイルストーン",K$6&lt;&gt;"",$E14&lt;&gt;"",$F14&lt;&gt;"",K$6&gt;=$E14,K$6&lt;=$F14)</formula>
    </cfRule>
    <cfRule type="expression" dxfId="10" priority="21">
      <formula>AND($J$13="マイルストーン",E14&lt;&gt;"",K$6=E14,E14&gt;$E13)</formula>
    </cfRule>
  </conditionalFormatting>
  <conditionalFormatting sqref="K15:BR15">
    <cfRule type="expression" dxfId="9" priority="22">
      <formula>AND($J$15&lt;&gt;"マイルストーン",K$6&lt;&gt;"",$E15&lt;&gt;"",K$6&gt;=$E15,K$6&lt;=$F15)</formula>
    </cfRule>
  </conditionalFormatting>
  <conditionalFormatting sqref="K16:BR16">
    <cfRule type="expression" dxfId="8" priority="26">
      <formula>AND($J$15="マイルストーン",E16&lt;&gt;"",K$6=E16,E16&gt;$E15)</formula>
    </cfRule>
    <cfRule type="expression" dxfId="7" priority="25">
      <formula>AND($J$15="マイルストーン",E16&lt;&gt;"",K$6=E16,E16&lt;=$E15)</formula>
    </cfRule>
    <cfRule type="expression" dxfId="6" priority="24">
      <formula>AND($J$15&lt;&gt;"マイルストーン",K$6&lt;&gt;"",$E16&lt;&gt;"",$F16="",K$6&gt;=$E16,K$6&lt;=$E$3)</formula>
    </cfRule>
    <cfRule type="expression" dxfId="5" priority="23">
      <formula>AND($J$15&lt;&gt;"マイルストーン",K$6&lt;&gt;"",$E16&lt;&gt;"",$F16&lt;&gt;"",K$6&gt;=$E16,K$6&lt;=$F16)</formula>
    </cfRule>
  </conditionalFormatting>
  <conditionalFormatting sqref="K17:BR17">
    <cfRule type="expression" dxfId="4" priority="27">
      <formula>AND($J$17&lt;&gt;"マイルストーン",K$6&lt;&gt;"",$E17&lt;&gt;"",K$6&gt;=$E17,K$6&lt;=$F17)</formula>
    </cfRule>
  </conditionalFormatting>
  <conditionalFormatting sqref="K18:BR18">
    <cfRule type="expression" dxfId="3" priority="28">
      <formula>AND($J$17&lt;&gt;"マイルストーン",K$6&lt;&gt;"",$E18&lt;&gt;"",$F18&lt;&gt;"",K$6&gt;=$E18,K$6&lt;=$F18)</formula>
    </cfRule>
    <cfRule type="expression" dxfId="2" priority="29">
      <formula>AND($J$17&lt;&gt;"マイルストーン",K$6&lt;&gt;"",$E18&lt;&gt;"",$F18="",K$6&gt;=$E18,K$6&lt;=$E$3)</formula>
    </cfRule>
    <cfRule type="expression" dxfId="1" priority="30">
      <formula>AND($J$17="マイルストーン",E18&lt;&gt;"",K$6=E18,E18&lt;=$E17)</formula>
    </cfRule>
    <cfRule type="expression" dxfId="0" priority="31">
      <formula>AND($J$17="マイルストーン",E18&lt;&gt;"",K$6=E18,E18&gt;$E17)</formula>
    </cfRule>
  </conditionalFormatting>
  <dataValidations count="2">
    <dataValidation type="decimal" showErrorMessage="1" errorTitle="入力エラー" error="0〜100%の範囲で入力してください" sqref="H8 H10 H12 H14 H16 H18" xr:uid="{00000000-0002-0000-0000-000000000000}">
      <formula1>0</formula1>
      <formula2>1</formula2>
    </dataValidation>
    <dataValidation type="list" showErrorMessage="1" errorTitle="入力エラー" error="タスク または マイルストーン を選択してください" sqref="J7 J9 J11 J13 J15 J17" xr:uid="{00000000-0002-0000-0000-000001000000}">
      <formula1>"タスク,マイルストーン"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zoomScaleNormal="100" workbookViewId="0"/>
  </sheetViews>
  <sheetFormatPr defaultColWidth="8.7109375" defaultRowHeight="15"/>
  <cols>
    <col min="1" max="1" width="95" customWidth="1"/>
  </cols>
  <sheetData>
    <row r="1" spans="1:1" ht="16.5">
      <c r="A1" s="25" t="s">
        <v>24</v>
      </c>
    </row>
    <row r="2" spans="1:1">
      <c r="A2" s="26"/>
    </row>
    <row r="3" spans="1:1" ht="15.75">
      <c r="A3" s="27" t="s">
        <v>25</v>
      </c>
    </row>
    <row r="4" spans="1:1" ht="15.75">
      <c r="A4" s="28" t="s">
        <v>26</v>
      </c>
    </row>
    <row r="5" spans="1:1" ht="15.75">
      <c r="A5" s="28" t="s">
        <v>27</v>
      </c>
    </row>
    <row r="6" spans="1:1" ht="15.75">
      <c r="A6" s="28" t="s">
        <v>28</v>
      </c>
    </row>
    <row r="7" spans="1:1">
      <c r="A7" s="28" t="s">
        <v>29</v>
      </c>
    </row>
    <row r="8" spans="1:1">
      <c r="A8" s="28" t="s">
        <v>30</v>
      </c>
    </row>
    <row r="9" spans="1:1" ht="15.75">
      <c r="A9" s="28" t="s">
        <v>31</v>
      </c>
    </row>
    <row r="10" spans="1:1" ht="15.75">
      <c r="A10" s="28" t="s">
        <v>32</v>
      </c>
    </row>
    <row r="11" spans="1:1">
      <c r="A11" s="28" t="s">
        <v>33</v>
      </c>
    </row>
    <row r="12" spans="1:1" ht="15.75">
      <c r="A12" s="27" t="s">
        <v>34</v>
      </c>
    </row>
    <row r="13" spans="1:1">
      <c r="A13" s="28" t="s">
        <v>35</v>
      </c>
    </row>
    <row r="14" spans="1:1" ht="15.75">
      <c r="A14" s="28" t="s">
        <v>36</v>
      </c>
    </row>
    <row r="15" spans="1:1">
      <c r="A15" s="26"/>
    </row>
    <row r="16" spans="1:1" ht="15.75">
      <c r="A16" s="29" t="s">
        <v>37</v>
      </c>
    </row>
    <row r="17" spans="1:1">
      <c r="A17" s="28" t="s">
        <v>38</v>
      </c>
    </row>
    <row r="18" spans="1:1">
      <c r="A18" s="28" t="s">
        <v>39</v>
      </c>
    </row>
    <row r="19" spans="1:1">
      <c r="A19" s="28" t="s">
        <v>40</v>
      </c>
    </row>
    <row r="20" spans="1:1">
      <c r="A20" s="28" t="s">
        <v>41</v>
      </c>
    </row>
    <row r="21" spans="1:1">
      <c r="A21" s="28" t="s">
        <v>42</v>
      </c>
    </row>
    <row r="22" spans="1:1">
      <c r="A22" s="28" t="s">
        <v>43</v>
      </c>
    </row>
    <row r="23" spans="1:1">
      <c r="A23" s="28" t="s">
        <v>44</v>
      </c>
    </row>
  </sheetData>
  <phoneticPr fontId="18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ガントチャート</vt:lpstr>
      <vt:lpstr>使い方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古谷 明彦</cp:lastModifiedBy>
  <cp:revision>0</cp:revision>
  <dcterms:created xsi:type="dcterms:W3CDTF">2026-07-09T08:24:21Z</dcterms:created>
  <dcterms:modified xsi:type="dcterms:W3CDTF">2026-07-13T00:14:47Z</dcterms:modified>
  <dc:language>en-US</dc:language>
</cp:coreProperties>
</file>